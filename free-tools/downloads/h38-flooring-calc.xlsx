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lo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#,##0.0"/>
    <numFmt numFmtId="167" formatCode="&quot;$&quot;#,##0.000"/>
    <numFmt numFmtId="168" formatCode="0.0000"/>
    <numFmt numFmtId="169" formatCode="0.000"/>
    <numFmt numFmtId="170" formatCode="0.0"/>
    <numFmt numFmtId="171" formatCode="&quot;$&quot;#,##0"/>
    <numFmt numFmtId="172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1B2A4E"/>
      <sz val="18"/>
    </font>
    <font>
      <name val="Calibri"/>
      <color rgb="00444444"/>
      <sz val="11"/>
    </font>
    <font>
      <name val="Calibri"/>
      <b val="1"/>
      <sz val="11"/>
    </font>
    <font>
      <name val="Calibri"/>
      <sz val="11"/>
    </font>
    <font>
      <name val="Calibri"/>
      <b val="1"/>
      <color rgb="001B2A4E"/>
      <sz val="11"/>
    </font>
    <font>
      <name val="Calibri"/>
      <b val="1"/>
      <color rgb="00FFFFFF"/>
      <sz val="14"/>
    </font>
    <font>
      <name val="Calibri"/>
      <b val="1"/>
      <color rgb="001B2A4E"/>
      <sz val="12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555555"/>
      <sz val="11"/>
    </font>
    <font>
      <name val="Calibri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C9A86A"/>
      </patternFill>
    </fill>
    <fill>
      <patternFill patternType="solid">
        <fgColor rgb="00FFF7D6"/>
      </patternFill>
    </fill>
  </fills>
  <borders count="8">
    <border>
      <left/>
      <right/>
      <top/>
      <bottom/>
      <diagonal/>
    </border>
    <border>
      <left style="thin">
        <color rgb="00B0B8C5"/>
      </left>
      <right style="thin">
        <color rgb="00B0B8C5"/>
      </right>
      <top style="thin">
        <color rgb="00B0B8C5"/>
      </top>
      <bottom style="thin">
        <color rgb="00B0B8C5"/>
      </bottom>
    </border>
    <border>
      <left/>
      <right/>
      <top style="thin">
        <color rgb="00B0B8C5"/>
      </top>
      <bottom/>
      <diagonal/>
    </border>
    <border>
      <left/>
      <right style="thin">
        <color rgb="00B0B8C5"/>
      </right>
      <top style="thin">
        <color rgb="00B0B8C5"/>
      </top>
      <bottom/>
      <diagonal/>
    </border>
    <border>
      <left/>
      <right/>
      <top style="thin">
        <color rgb="00B0B8C5"/>
      </top>
      <bottom style="thin">
        <color rgb="00B0B8C5"/>
      </bottom>
      <diagonal/>
    </border>
    <border>
      <left/>
      <right style="thin">
        <color rgb="00B0B8C5"/>
      </right>
      <top style="thin">
        <color rgb="00B0B8C5"/>
      </top>
      <bottom style="thin">
        <color rgb="00B0B8C5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4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165" fontId="0" fillId="0" borderId="1" pivotButton="0" quotePrefix="0" xfId="0"/>
    <xf numFmtId="0" fontId="8" fillId="0" borderId="0" applyAlignment="1" pivotButton="0" quotePrefix="0" xfId="0">
      <alignment vertical="top" wrapText="1"/>
    </xf>
    <xf numFmtId="166" fontId="0" fillId="4" borderId="1" pivotButton="0" quotePrefix="0" xfId="0"/>
    <xf numFmtId="167" fontId="0" fillId="4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166" fontId="3" fillId="0" borderId="1" pivotButton="0" quotePrefix="0" xfId="0"/>
    <xf numFmtId="3" fontId="3" fillId="0" borderId="1" pivotButton="0" quotePrefix="0" xfId="0"/>
    <xf numFmtId="4" fontId="0" fillId="4" borderId="1" pivotButton="0" quotePrefix="0" xfId="0"/>
    <xf numFmtId="168" fontId="0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3" fontId="4" fillId="4" borderId="6" pivotButton="0" quotePrefix="0" xfId="0"/>
    <xf numFmtId="0" fontId="4" fillId="4" borderId="6" pivotButton="0" quotePrefix="0" xfId="0"/>
    <xf numFmtId="4" fontId="4" fillId="0" borderId="6" pivotButton="0" quotePrefix="0" xfId="0"/>
    <xf numFmtId="3" fontId="4" fillId="0" borderId="6" pivotButton="0" quotePrefix="0" xfId="0"/>
    <xf numFmtId="4" fontId="3" fillId="0" borderId="6" pivotButton="0" quotePrefix="0" xfId="0"/>
    <xf numFmtId="165" fontId="3" fillId="0" borderId="6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6" pivotButton="0" quotePrefix="0" xfId="0"/>
    <xf numFmtId="4" fontId="4" fillId="4" borderId="6" pivotButton="0" quotePrefix="0" xfId="0"/>
    <xf numFmtId="3" fontId="3" fillId="0" borderId="6" pivotButton="0" quotePrefix="0" xfId="0"/>
    <xf numFmtId="0" fontId="3" fillId="0" borderId="6" pivotButton="0" quotePrefix="0" xfId="0"/>
    <xf numFmtId="169" fontId="4" fillId="0" borderId="6" pivotButton="0" quotePrefix="0" xfId="0"/>
    <xf numFmtId="168" fontId="4" fillId="0" borderId="6" pivotButton="0" quotePrefix="0" xfId="0"/>
    <xf numFmtId="170" fontId="3" fillId="0" borderId="6" pivotButton="0" quotePrefix="0" xfId="0"/>
    <xf numFmtId="164" fontId="4" fillId="4" borderId="6" pivotButton="0" quotePrefix="0" xfId="0"/>
    <xf numFmtId="164" fontId="3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wrapText="1"/>
    </xf>
    <xf numFmtId="0" fontId="6" fillId="2" borderId="0" pivotButton="0" quotePrefix="0" xfId="0"/>
    <xf numFmtId="0" fontId="2" fillId="0" borderId="0" applyAlignment="1" pivotButton="0" quotePrefix="0" xfId="0">
      <alignment wrapText="1"/>
    </xf>
    <xf numFmtId="9" fontId="4" fillId="0" borderId="0" pivotButton="0" quotePrefix="0" xfId="0"/>
    <xf numFmtId="171" fontId="4" fillId="0" borderId="0" pivotButton="0" quotePrefix="0" xfId="0"/>
    <xf numFmtId="165" fontId="4" fillId="0" borderId="0" pivotButton="0" quotePrefix="0" xfId="0"/>
    <xf numFmtId="0" fontId="8" fillId="0" borderId="0" applyAlignment="1" pivotButton="0" quotePrefix="0" xfId="0">
      <alignment wrapText="1"/>
    </xf>
    <xf numFmtId="170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10" fontId="4" fillId="4" borderId="6" pivotButton="0" quotePrefix="0" xfId="0"/>
    <xf numFmtId="0" fontId="11" fillId="0" borderId="0" pivotButton="0" quotePrefix="0" xfId="0"/>
    <xf numFmtId="165" fontId="4" fillId="4" borderId="6" pivotButton="0" quotePrefix="0" xfId="0"/>
    <xf numFmtId="164" fontId="4" fillId="0" borderId="6" pivotButton="0" quotePrefix="0" xfId="0"/>
    <xf numFmtId="165" fontId="4" fillId="0" borderId="6" pivotButton="0" quotePrefix="0" xfId="0"/>
    <xf numFmtId="166" fontId="4" fillId="4" borderId="6" pivotButton="0" quotePrefix="0" xfId="0"/>
    <xf numFmtId="10" fontId="4" fillId="0" borderId="6" pivotButton="0" quotePrefix="0" xfId="0"/>
    <xf numFmtId="166" fontId="4" fillId="0" borderId="6" pivotButton="0" quotePrefix="0" xfId="0"/>
    <xf numFmtId="166" fontId="0" fillId="0" borderId="6" pivotButton="0" quotePrefix="0" xfId="0"/>
    <xf numFmtId="165" fontId="0" fillId="0" borderId="6" pivotButton="0" quotePrefix="0" xfId="0"/>
    <xf numFmtId="166" fontId="3" fillId="0" borderId="6" pivotButton="0" quotePrefix="0" xfId="0"/>
    <xf numFmtId="3" fontId="0" fillId="0" borderId="6" pivotButton="0" quotePrefix="0" xfId="0"/>
    <xf numFmtId="168" fontId="0" fillId="0" borderId="6" pivotButton="0" quotePrefix="0" xfId="0"/>
    <xf numFmtId="4" fontId="0" fillId="0" borderId="6" pivotButton="0" quotePrefix="0" xfId="0"/>
    <xf numFmtId="0" fontId="7" fillId="3" borderId="7" pivotButton="0" quotePrefix="0" xfId="0"/>
    <xf numFmtId="0" fontId="3" fillId="0" borderId="7" pivotButton="0" quotePrefix="0" xfId="0"/>
    <xf numFmtId="0" fontId="4" fillId="0" borderId="7" pivotButton="0" quotePrefix="0" xfId="0"/>
    <xf numFmtId="0" fontId="11" fillId="0" borderId="7" applyAlignment="1" pivotButton="0" quotePrefix="0" xfId="0">
      <alignment vertical="top" wrapText="1"/>
    </xf>
    <xf numFmtId="172" fontId="0" fillId="0" borderId="1" pivotButton="0" quotePrefix="0" xfId="0"/>
    <xf numFmtId="172" fontId="4" fillId="0" borderId="1" pivotButton="0" quotePrefix="0" xfId="0"/>
    <xf numFmtId="166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809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H38 FLOORING CALC</t>
        </is>
      </c>
    </row>
    <row r="2">
      <c r="A2" s="2" t="inlineStr">
        <is>
          <t>By Highway 38 Solutions  -  The Flooring sheet from the H38 Contractor Calc, in a book of its own</t>
        </is>
      </c>
    </row>
    <row r="3"/>
    <row r="4" ht="42" customHeight="1">
      <c r="A4" s="3" t="inlineStr">
        <is>
          <t>What this is</t>
        </is>
      </c>
      <c r="B4" s="4" t="inlineStr">
        <is>
          <t>The Flooring sheet from the H38 Contractor Calc workbook, as a book you keep - floor area &amp; boxes for plank, LVP, laminate and carpet tile, tile counts with waste, and a quick reference for tile sizes &amp; waste.</t>
        </is>
      </c>
    </row>
    <row r="5" ht="42" customHeight="1">
      <c r="A5" s="3" t="inlineStr">
        <is>
          <t>Start in this order</t>
        </is>
      </c>
      <c r="B5" s="4" t="inlineStr">
        <is>
          <t>1) Flooring - the room, the waste factor and the box label. One sheet - the tools run top to bottom.</t>
        </is>
      </c>
    </row>
    <row r="6" ht="42" customHeight="1">
      <c r="A6" s="3" t="inlineStr">
        <is>
          <t>Yellow cells</t>
        </is>
      </c>
      <c r="B6" s="4" t="inlineStr">
        <is>
          <t>Yellow = you type here. White / grey cells are formulas - don't type over them, or that calculation will stop working. Percent cells: type them as percents (20%), not decimals.</t>
        </is>
      </c>
    </row>
    <row r="7" ht="42" customHeight="1">
      <c r="A7" s="3" t="inlineStr">
        <is>
          <t>Example data</t>
        </is>
      </c>
      <c r="B7" s="4" t="inlineStr">
        <is>
          <t>Every calculator opens with the same example numbers as the web app, so the two match side by side. Replace them with your shop's real numbers before quoting a customer.</t>
        </is>
      </c>
    </row>
    <row r="8" ht="42" customHeight="1">
      <c r="A8" s="3" t="inlineStr">
        <is>
          <t>Estimates only</t>
        </is>
      </c>
      <c r="B8" s="4" t="inlineStr">
        <is>
          <t>Results are estimates for planning and quoting conversations - verify load calculations, code requirements, and tax figures against the governing standard (Manual J, the NEC, IRS publications) and your own books before you build, bid, or file on them.</t>
        </is>
      </c>
    </row>
    <row r="9"/>
    <row r="10">
      <c r="A10" s="5" t="inlineStr">
        <is>
          <t>Sheets:  Flooring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A2:B2"/>
    <mergeCell ref="A10:B10"/>
    <mergeCell ref="A1:B1"/>
  </mergeCells>
  <printOptions horizontalCentered="1"/>
  <pageMargins left="0.75" right="0.75" top="1" bottom="1" header="0.5" footer="0.5"/>
  <pageSetup orientation="portrait" fitToHeight="1" fitToWidth="1"/>
  <headerFooter>
    <oddHeader>&amp;C&amp;11 Highway 38 Solutions</oddHeader>
    <oddFooter/>
    <evenHeader>&amp;C&amp;11 Highway 38 Solutions</evenHeader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6" t="inlineStr">
        <is>
          <t>FLOORING - Area, waste, boxes &amp; tile counts</t>
        </is>
      </c>
    </row>
    <row r="2">
      <c r="A2" s="7" t="inlineStr">
        <is>
          <t>The room, the waste factor and the box label - everything a flooring order runs on, whatever is going down.</t>
        </is>
      </c>
    </row>
    <row r="4" ht="20" customHeight="1">
      <c r="A4" s="8" t="inlineStr">
        <is>
          <t>1 - FLOOR AREA &amp; BOXES - PLANK, LVP, LAMINATE, CARPET TILE</t>
        </is>
      </c>
    </row>
    <row r="5">
      <c r="A5" s="9" t="inlineStr">
        <is>
          <t>Room length (ft)</t>
        </is>
      </c>
      <c r="B5" s="18" t="n">
        <v>15</v>
      </c>
    </row>
    <row r="6">
      <c r="A6" s="9" t="inlineStr">
        <is>
          <t>Room width (ft)</t>
        </is>
      </c>
      <c r="B6" s="18" t="n">
        <v>12</v>
      </c>
    </row>
    <row r="7">
      <c r="A7" s="9" t="inlineStr">
        <is>
          <t>Waste</t>
        </is>
      </c>
      <c r="B7" s="12" t="n">
        <v>0.1</v>
      </c>
      <c r="C7" s="24" t="inlineStr">
        <is>
          <t>Typical - 10% straight lay, 15% diagonal, 20% herringbone</t>
        </is>
      </c>
    </row>
    <row r="8">
      <c r="A8" s="9" t="inlineStr">
        <is>
          <t>Coverage per box (sq ft)</t>
        </is>
      </c>
      <c r="B8" s="10" t="n">
        <v>20</v>
      </c>
      <c r="C8" s="24" t="inlineStr">
        <is>
          <t>Read it off the box - it is the only number that matters here</t>
        </is>
      </c>
    </row>
    <row r="9">
      <c r="A9" s="9" t="inlineStr">
        <is>
          <t>Floor area (sq ft)</t>
        </is>
      </c>
      <c r="B9" s="20">
        <f>B5*B6</f>
        <v/>
      </c>
    </row>
    <row r="10">
      <c r="A10" s="9" t="inlineStr">
        <is>
          <t>Material to buy, with waste (sq ft)</t>
        </is>
      </c>
      <c r="B10" s="33">
        <f>B9*(1+B7)</f>
        <v/>
      </c>
    </row>
    <row r="11">
      <c r="A11" s="14" t="inlineStr">
        <is>
          <t>BOXES TO BUY</t>
        </is>
      </c>
      <c r="B11" s="26">
        <f>IF(B8&gt;0,CEILING(B10/B8,1),0)</f>
        <v/>
      </c>
    </row>
    <row r="12" ht="28" customHeight="1">
      <c r="A12" s="17" t="inlineStr">
        <is>
          <t>Buy the extra box. Dye lots change, and the box you need in three years for a repair will not match the floor if you buy it then.</t>
        </is>
      </c>
    </row>
    <row r="14" ht="20" customHeight="1">
      <c r="A14" s="8" t="inlineStr">
        <is>
          <t>2 - TILE COUNT - CERAMIC, PORCELAIN &amp; STONE</t>
        </is>
      </c>
    </row>
    <row r="15">
      <c r="A15" s="9" t="inlineStr">
        <is>
          <t>Area length (ft)</t>
        </is>
      </c>
      <c r="B15" s="18" t="n">
        <v>10</v>
      </c>
    </row>
    <row r="16">
      <c r="A16" s="9" t="inlineStr">
        <is>
          <t>Area width (ft)</t>
        </is>
      </c>
      <c r="B16" s="18" t="n">
        <v>8</v>
      </c>
    </row>
    <row r="17">
      <c r="A17" s="9" t="inlineStr">
        <is>
          <t>Tile length (in)</t>
        </is>
      </c>
      <c r="B17" s="18" t="n">
        <v>12</v>
      </c>
    </row>
    <row r="18">
      <c r="A18" s="9" t="inlineStr">
        <is>
          <t>Tile width (in)</t>
        </is>
      </c>
      <c r="B18" s="18" t="n">
        <v>24</v>
      </c>
    </row>
    <row r="19">
      <c r="A19" s="9" t="inlineStr">
        <is>
          <t>Waste &amp; cuts</t>
        </is>
      </c>
      <c r="B19" s="12" t="n">
        <v>0.1</v>
      </c>
      <c r="C19" s="24" t="inlineStr">
        <is>
          <t>Typical - 10% straight grid, 15% diagonal or offset patterns</t>
        </is>
      </c>
    </row>
    <row r="20">
      <c r="A20" s="9" t="inlineStr">
        <is>
          <t>Area to tile (sq ft)</t>
        </is>
      </c>
      <c r="B20" s="20">
        <f>B15*B16</f>
        <v/>
      </c>
    </row>
    <row r="21">
      <c r="A21" s="9" t="inlineStr">
        <is>
          <t>Tile face area (sq ft)</t>
        </is>
      </c>
      <c r="B21" s="21">
        <f>(B17*B18)/144</f>
        <v/>
      </c>
    </row>
    <row r="22">
      <c r="A22" s="9" t="inlineStr">
        <is>
          <t>Tiles before waste</t>
        </is>
      </c>
      <c r="B22" s="33">
        <f>IF(B21&gt;0,B20/B21,0)</f>
        <v/>
      </c>
    </row>
    <row r="23">
      <c r="A23" s="14" t="inlineStr">
        <is>
          <t>TILES TO BUY</t>
        </is>
      </c>
      <c r="B23" s="26">
        <f>CEILING(B22*(1+B19),1)</f>
        <v/>
      </c>
    </row>
    <row r="24" ht="28" customHeight="1">
      <c r="A24" s="17" t="inlineStr">
        <is>
          <t>The count runs off the tile's face size and ignores the grout gap - on large-format tile the gap barely moves the count; on mosaics, count the mounted sheet as the unit, not the chip.</t>
        </is>
      </c>
    </row>
    <row r="26" ht="20" customHeight="1">
      <c r="A26" s="8" t="inlineStr">
        <is>
          <t>3 - QUICK REFERENCE - TILE SIZES &amp; WASTE GUIDE</t>
        </is>
      </c>
    </row>
    <row r="27" ht="28" customHeight="1">
      <c r="A27" s="17" t="inlineStr">
        <is>
          <t>Tiles per 100 square feet is exact arithmetic from the face size, before waste. The waste guide below it is the trade's usual allowances - estimates, not promises.</t>
        </is>
      </c>
    </row>
    <row r="28">
      <c r="A28" s="31" t="inlineStr">
        <is>
          <t>Tile size (in)</t>
        </is>
      </c>
      <c r="B28" s="31" t="inlineStr">
        <is>
          <t>Sq ft per tile</t>
        </is>
      </c>
      <c r="C28" s="31" t="inlineStr">
        <is>
          <t>Tiles per 100 sq ft</t>
        </is>
      </c>
    </row>
    <row r="29">
      <c r="A29" s="30" t="inlineStr">
        <is>
          <t>3 x 6 (subway)</t>
        </is>
      </c>
      <c r="B29" s="89">
        <f>3*6/144</f>
        <v/>
      </c>
      <c r="C29" s="88">
        <f>100/B29</f>
        <v/>
      </c>
    </row>
    <row r="30">
      <c r="A30" s="30" t="inlineStr">
        <is>
          <t>4 x 4</t>
        </is>
      </c>
      <c r="B30" s="89">
        <f>4*4/144</f>
        <v/>
      </c>
      <c r="C30" s="88">
        <f>100/B30</f>
        <v/>
      </c>
    </row>
    <row r="31">
      <c r="A31" s="30" t="inlineStr">
        <is>
          <t>6 x 6</t>
        </is>
      </c>
      <c r="B31" s="89">
        <f>6*6/144</f>
        <v/>
      </c>
      <c r="C31" s="88">
        <f>100/B31</f>
        <v/>
      </c>
    </row>
    <row r="32">
      <c r="A32" s="30" t="inlineStr">
        <is>
          <t>6 x 24 (plank)</t>
        </is>
      </c>
      <c r="B32" s="89">
        <f>6*24/144</f>
        <v/>
      </c>
      <c r="C32" s="88">
        <f>100/B32</f>
        <v/>
      </c>
    </row>
    <row r="33">
      <c r="A33" s="30" t="inlineStr">
        <is>
          <t>6 x 36 (plank)</t>
        </is>
      </c>
      <c r="B33" s="89">
        <f>6*36/144</f>
        <v/>
      </c>
      <c r="C33" s="88">
        <f>100/B33</f>
        <v/>
      </c>
    </row>
    <row r="34">
      <c r="A34" s="30" t="inlineStr">
        <is>
          <t>12 x 12</t>
        </is>
      </c>
      <c r="B34" s="89">
        <f>12*12/144</f>
        <v/>
      </c>
      <c r="C34" s="88">
        <f>100/B34</f>
        <v/>
      </c>
    </row>
    <row r="35">
      <c r="A35" s="30" t="inlineStr">
        <is>
          <t>12 x 24</t>
        </is>
      </c>
      <c r="B35" s="89">
        <f>12*24/144</f>
        <v/>
      </c>
      <c r="C35" s="88">
        <f>100/B35</f>
        <v/>
      </c>
    </row>
    <row r="36">
      <c r="A36" s="30" t="inlineStr">
        <is>
          <t>18 x 18</t>
        </is>
      </c>
      <c r="B36" s="89">
        <f>18*18/144</f>
        <v/>
      </c>
      <c r="C36" s="88">
        <f>100/B36</f>
        <v/>
      </c>
    </row>
    <row r="37">
      <c r="A37" s="30" t="inlineStr">
        <is>
          <t>24 x 24</t>
        </is>
      </c>
      <c r="B37" s="89">
        <f>24*24/144</f>
        <v/>
      </c>
      <c r="C37" s="88">
        <f>100/B37</f>
        <v/>
      </c>
    </row>
    <row r="38">
      <c r="A38" s="30" t="inlineStr">
        <is>
          <t>24 x 48</t>
        </is>
      </c>
      <c r="B38" s="89">
        <f>24*48/144</f>
        <v/>
      </c>
      <c r="C38" s="88">
        <f>100/B38</f>
        <v/>
      </c>
    </row>
    <row r="39">
      <c r="A39" s="14" t="inlineStr">
        <is>
          <t>Waste guide - typical allowances</t>
        </is>
      </c>
    </row>
    <row r="40">
      <c r="A40" s="31" t="inlineStr">
        <is>
          <t>Pattern</t>
        </is>
      </c>
      <c r="B40" s="31" t="inlineStr">
        <is>
          <t>Typical waste</t>
        </is>
      </c>
    </row>
    <row r="41">
      <c r="A41" s="30" t="inlineStr">
        <is>
          <t>Straight lay / straight grid</t>
        </is>
      </c>
      <c r="B41" s="30" t="inlineStr">
        <is>
          <t>10%</t>
        </is>
      </c>
    </row>
    <row r="42">
      <c r="A42" s="30" t="inlineStr">
        <is>
          <t>Diagonal (45 degrees)</t>
        </is>
      </c>
      <c r="B42" s="30" t="inlineStr">
        <is>
          <t>15%</t>
        </is>
      </c>
    </row>
    <row r="43">
      <c r="A43" s="30" t="inlineStr">
        <is>
          <t>Offset / running bond tile</t>
        </is>
      </c>
      <c r="B43" s="30" t="inlineStr">
        <is>
          <t>10-15%</t>
        </is>
      </c>
    </row>
    <row r="44">
      <c r="A44" s="30" t="inlineStr">
        <is>
          <t>Herringbone</t>
        </is>
      </c>
      <c r="B44" s="30" t="inlineStr">
        <is>
          <t>20%</t>
        </is>
      </c>
    </row>
    <row r="45">
      <c r="A45" s="30" t="inlineStr">
        <is>
          <t>Random-length plank</t>
        </is>
      </c>
      <c r="B45" s="30" t="inlineStr">
        <is>
          <t>10-15%</t>
        </is>
      </c>
    </row>
    <row r="46" ht="28" customHeight="1">
      <c r="A46" s="17" t="inlineStr">
        <is>
          <t>Waste figures are typical estimating allowances. Broken tile, bad cuts and future repairs all come out of the same allowance - when in doubt, round the order up, not down.</t>
        </is>
      </c>
    </row>
  </sheetData>
  <mergeCells count="9">
    <mergeCell ref="A46:F46"/>
    <mergeCell ref="A1:C1"/>
    <mergeCell ref="A14:C14"/>
    <mergeCell ref="A27:F27"/>
    <mergeCell ref="A26:F26"/>
    <mergeCell ref="A12:C12"/>
    <mergeCell ref="A4:C4"/>
    <mergeCell ref="A24:C24"/>
    <mergeCell ref="A2:C2"/>
  </mergeCells>
  <printOptions horizontalCentered="1"/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Highway 38 Solutions</dc:creator>
  <dc:title xmlns:dc="http://purl.org/dc/elements/1.1/">H38 Contractor Calc - Highway 38 Solutions</dc:title>
  <dcterms:created xmlns:dcterms="http://purl.org/dc/terms/" xmlns:xsi="http://www.w3.org/2001/XMLSchema-instance" xsi:type="dcterms:W3CDTF">2026-10-25T21:36:25Z</dcterms:created>
  <dcterms:modified xmlns:dcterms="http://purl.org/dc/terms/" xmlns:xsi="http://www.w3.org/2001/XMLSchema-instance" xsi:type="dcterms:W3CDTF">2026-10-28T03:13:40+00:00Z</dcterms:modified>
</cp:coreProperties>
</file>