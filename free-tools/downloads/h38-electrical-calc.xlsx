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Electrical" sheetId="2" state="visible" r:id="rId2"/>
    <sheet xmlns:r="http://schemas.openxmlformats.org/officeDocument/2006/relationships" name="Electrical Reference" sheetId="3" state="visible" r:id="rId3"/>
    <sheet xmlns:r="http://schemas.openxmlformats.org/officeDocument/2006/relationships" name="Service &amp; Motors" sheetId="4" state="visible" r:id="rId4"/>
    <sheet xmlns:r="http://schemas.openxmlformats.org/officeDocument/2006/relationships" name="Generator &amp; Lighting" sheetId="5" state="visible" r:id="rId5"/>
    <sheet xmlns:r="http://schemas.openxmlformats.org/officeDocument/2006/relationships" name="Conduit Fill Plus" sheetId="6" state="visible" r:id="rId6"/>
    <sheet xmlns:r="http://schemas.openxmlformats.org/officeDocument/2006/relationships" name="Electrical Quote" sheetId="7" state="visible" r:id="rId7"/>
  </sheets>
  <definedNames/>
  <calcPr calcId="124519" fullCalcOnLoad="1"/>
</workbook>
</file>

<file path=xl/styles.xml><?xml version="1.0" encoding="utf-8"?>
<styleSheet xmlns="http://schemas.openxmlformats.org/spreadsheetml/2006/main">
  <numFmts count="9">
    <numFmt numFmtId="164" formatCode="&quot;$&quot;#,##0.00"/>
    <numFmt numFmtId="165" formatCode="0.0%"/>
    <numFmt numFmtId="166" formatCode="#,##0.0"/>
    <numFmt numFmtId="167" formatCode="&quot;$&quot;#,##0.000"/>
    <numFmt numFmtId="168" formatCode="0.0000"/>
    <numFmt numFmtId="169" formatCode="0.000"/>
    <numFmt numFmtId="170" formatCode="0.0"/>
    <numFmt numFmtId="171" formatCode="&quot;$&quot;#,##0"/>
    <numFmt numFmtId="172" formatCode="#,##0.000"/>
  </numFmts>
  <fonts count="12">
    <font>
      <name val="Calibri"/>
      <family val="2"/>
      <color theme="1"/>
      <sz val="11"/>
      <scheme val="minor"/>
    </font>
    <font>
      <name val="Calibri"/>
      <b val="1"/>
      <color rgb="001B2A4E"/>
      <sz val="18"/>
    </font>
    <font>
      <name val="Calibri"/>
      <color rgb="00444444"/>
      <sz val="11"/>
    </font>
    <font>
      <name val="Calibri"/>
      <b val="1"/>
      <sz val="11"/>
    </font>
    <font>
      <name val="Calibri"/>
      <sz val="11"/>
    </font>
    <font>
      <name val="Calibri"/>
      <b val="1"/>
      <color rgb="001B2A4E"/>
      <sz val="11"/>
    </font>
    <font>
      <name val="Calibri"/>
      <b val="1"/>
      <color rgb="00FFFFFF"/>
      <sz val="14"/>
    </font>
    <font>
      <name val="Calibri"/>
      <b val="1"/>
      <color rgb="001B2A4E"/>
      <sz val="12"/>
    </font>
    <font>
      <name val="Calibri"/>
      <i val="1"/>
      <color rgb="00555555"/>
      <sz val="11"/>
    </font>
    <font>
      <name val="Calibri"/>
      <b val="1"/>
      <color rgb="00FFFFFF"/>
      <sz val="11"/>
    </font>
    <font>
      <name val="Calibri"/>
      <b val="1"/>
      <color rgb="00555555"/>
      <sz val="11"/>
    </font>
    <font>
      <name val="Calibri"/>
      <color rgb="00555555"/>
      <sz val="11"/>
    </font>
  </fonts>
  <fills count="5">
    <fill>
      <patternFill/>
    </fill>
    <fill>
      <patternFill patternType="gray125"/>
    </fill>
    <fill>
      <patternFill patternType="solid">
        <fgColor rgb="001B2A4E"/>
      </patternFill>
    </fill>
    <fill>
      <patternFill patternType="solid">
        <fgColor rgb="00C9A86A"/>
      </patternFill>
    </fill>
    <fill>
      <patternFill patternType="solid">
        <fgColor rgb="00FFF7D6"/>
      </patternFill>
    </fill>
  </fills>
  <borders count="8">
    <border>
      <left/>
      <right/>
      <top/>
      <bottom/>
      <diagonal/>
    </border>
    <border>
      <left style="thin">
        <color rgb="00B0B8C5"/>
      </left>
      <right style="thin">
        <color rgb="00B0B8C5"/>
      </right>
      <top style="thin">
        <color rgb="00B0B8C5"/>
      </top>
      <bottom style="thin">
        <color rgb="00B0B8C5"/>
      </bottom>
    </border>
    <border>
      <left/>
      <right/>
      <top style="thin">
        <color rgb="00B0B8C5"/>
      </top>
      <bottom/>
      <diagonal/>
    </border>
    <border>
      <left/>
      <right style="thin">
        <color rgb="00B0B8C5"/>
      </right>
      <top style="thin">
        <color rgb="00B0B8C5"/>
      </top>
      <bottom/>
      <diagonal/>
    </border>
    <border>
      <left/>
      <right/>
      <top style="thin">
        <color rgb="00B0B8C5"/>
      </top>
      <bottom style="thin">
        <color rgb="00B0B8C5"/>
      </bottom>
      <diagonal/>
    </border>
    <border>
      <left/>
      <right style="thin">
        <color rgb="00B0B8C5"/>
      </right>
      <top style="thin">
        <color rgb="00B0B8C5"/>
      </top>
      <bottom style="thin">
        <color rgb="00B0B8C5"/>
      </bottom>
      <diagonal/>
    </border>
    <border>
      <left style="thin"/>
      <right style="thin"/>
      <top style="thin"/>
      <bottom style="thin"/>
    </border>
    <border/>
  </borders>
  <cellStyleXfs count="1">
    <xf numFmtId="0" fontId="0" fillId="0" borderId="0"/>
  </cellStyleXfs>
  <cellXfs count="9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vertical="center"/>
    </xf>
    <xf numFmtId="0" fontId="2" fillId="0" borderId="0" applyAlignment="1" pivotButton="0" quotePrefix="0" xfId="0">
      <alignment vertical="top" wrapText="1"/>
    </xf>
    <xf numFmtId="0" fontId="7" fillId="3" borderId="0" applyAlignment="1" pivotButton="0" quotePrefix="0" xfId="0">
      <alignment vertical="center"/>
    </xf>
    <xf numFmtId="0" fontId="4" fillId="0" borderId="0" pivotButton="0" quotePrefix="0" xfId="0"/>
    <xf numFmtId="3" fontId="0" fillId="4" borderId="1" pivotButton="0" quotePrefix="0" xfId="0"/>
    <xf numFmtId="164" fontId="0" fillId="4" borderId="1" pivotButton="0" quotePrefix="0" xfId="0"/>
    <xf numFmtId="165" fontId="0" fillId="4" borderId="1" pivotButton="0" quotePrefix="0" xfId="0"/>
    <xf numFmtId="164" fontId="0" fillId="0" borderId="1" pivotButton="0" quotePrefix="0" xfId="0"/>
    <xf numFmtId="0" fontId="3" fillId="0" borderId="0" pivotButton="0" quotePrefix="0" xfId="0"/>
    <xf numFmtId="164" fontId="3" fillId="0" borderId="1" pivotButton="0" quotePrefix="0" xfId="0"/>
    <xf numFmtId="165" fontId="0" fillId="0" borderId="1" pivotButton="0" quotePrefix="0" xfId="0"/>
    <xf numFmtId="0" fontId="8" fillId="0" borderId="0" applyAlignment="1" pivotButton="0" quotePrefix="0" xfId="0">
      <alignment vertical="top" wrapText="1"/>
    </xf>
    <xf numFmtId="166" fontId="0" fillId="4" borderId="1" pivotButton="0" quotePrefix="0" xfId="0"/>
    <xf numFmtId="167" fontId="0" fillId="4" borderId="1" pivotButton="0" quotePrefix="0" xfId="0"/>
    <xf numFmtId="3" fontId="0" fillId="0" borderId="1" pivotButton="0" quotePrefix="0" xfId="0"/>
    <xf numFmtId="4" fontId="0" fillId="0" borderId="1" pivotButton="0" quotePrefix="0" xfId="0"/>
    <xf numFmtId="4" fontId="3" fillId="0" borderId="1" pivotButton="0" quotePrefix="0" xfId="0"/>
    <xf numFmtId="0" fontId="0" fillId="4" borderId="1" pivotButton="0" quotePrefix="0" xfId="0"/>
    <xf numFmtId="0" fontId="8" fillId="0" borderId="0" pivotButton="0" quotePrefix="0" xfId="0"/>
    <xf numFmtId="166" fontId="3" fillId="0" borderId="1" pivotButton="0" quotePrefix="0" xfId="0"/>
    <xf numFmtId="3" fontId="3" fillId="0" borderId="1" pivotButton="0" quotePrefix="0" xfId="0"/>
    <xf numFmtId="4" fontId="0" fillId="4" borderId="1" pivotButton="0" quotePrefix="0" xfId="0"/>
    <xf numFmtId="168" fontId="0" fillId="0" borderId="1" pivotButton="0" quotePrefix="0" xfId="0"/>
    <xf numFmtId="165" fontId="3" fillId="0" borderId="1" pivotButton="0" quotePrefix="0" xfId="0"/>
    <xf numFmtId="0" fontId="4" fillId="0" borderId="1" pivotButton="0" quotePrefix="0" xfId="0"/>
    <xf numFmtId="0" fontId="3" fillId="0" borderId="1" pivotButton="0" quotePrefix="0" xfId="0"/>
    <xf numFmtId="0" fontId="0" fillId="0" borderId="1" pivotButton="0" quotePrefix="0" xfId="0"/>
    <xf numFmtId="166" fontId="0" fillId="0" borderId="1" pivotButton="0" quotePrefix="0" xfId="0"/>
    <xf numFmtId="0" fontId="9" fillId="2" borderId="1" applyAlignment="1" pivotButton="0" quotePrefix="0" xfId="0">
      <alignment horizontal="center" vertical="center" wrapText="1"/>
    </xf>
    <xf numFmtId="0" fontId="7" fillId="3" borderId="0" pivotButton="0" quotePrefix="0" xfId="0"/>
    <xf numFmtId="3" fontId="4" fillId="4" borderId="6" pivotButton="0" quotePrefix="0" xfId="0"/>
    <xf numFmtId="0" fontId="4" fillId="4" borderId="6" pivotButton="0" quotePrefix="0" xfId="0"/>
    <xf numFmtId="4" fontId="4" fillId="0" borderId="6" pivotButton="0" quotePrefix="0" xfId="0"/>
    <xf numFmtId="3" fontId="4" fillId="0" borderId="6" pivotButton="0" quotePrefix="0" xfId="0"/>
    <xf numFmtId="4" fontId="3" fillId="0" borderId="6" pivotButton="0" quotePrefix="0" xfId="0"/>
    <xf numFmtId="165" fontId="3" fillId="0" borderId="6"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4" fillId="0" borderId="6" pivotButton="0" quotePrefix="0" xfId="0"/>
    <xf numFmtId="4" fontId="4" fillId="4" borderId="6" pivotButton="0" quotePrefix="0" xfId="0"/>
    <xf numFmtId="3" fontId="3" fillId="0" borderId="6" pivotButton="0" quotePrefix="0" xfId="0"/>
    <xf numFmtId="0" fontId="3" fillId="0" borderId="6" pivotButton="0" quotePrefix="0" xfId="0"/>
    <xf numFmtId="169" fontId="4" fillId="0" borderId="6" pivotButton="0" quotePrefix="0" xfId="0"/>
    <xf numFmtId="168" fontId="4" fillId="0" borderId="6" pivotButton="0" quotePrefix="0" xfId="0"/>
    <xf numFmtId="170" fontId="3" fillId="0" borderId="6" pivotButton="0" quotePrefix="0" xfId="0"/>
    <xf numFmtId="164" fontId="4" fillId="4" borderId="6" pivotButton="0" quotePrefix="0" xfId="0"/>
    <xf numFmtId="164" fontId="3" fillId="0" borderId="6" pivotButton="0" quotePrefix="0" xfId="0"/>
    <xf numFmtId="0" fontId="0" fillId="0" borderId="4" pivotButton="0" quotePrefix="0" xfId="0"/>
    <xf numFmtId="0" fontId="0" fillId="0" borderId="5" pivotButton="0" quotePrefix="0" xfId="0"/>
    <xf numFmtId="0" fontId="4" fillId="0" borderId="0" applyAlignment="1" pivotButton="0" quotePrefix="0" xfId="0">
      <alignment wrapText="1"/>
    </xf>
    <xf numFmtId="0" fontId="6" fillId="2" borderId="0" pivotButton="0" quotePrefix="0" xfId="0"/>
    <xf numFmtId="0" fontId="2" fillId="0" borderId="0" applyAlignment="1" pivotButton="0" quotePrefix="0" xfId="0">
      <alignment wrapText="1"/>
    </xf>
    <xf numFmtId="9" fontId="4" fillId="0" borderId="0" pivotButton="0" quotePrefix="0" xfId="0"/>
    <xf numFmtId="171" fontId="4" fillId="0" borderId="0" pivotButton="0" quotePrefix="0" xfId="0"/>
    <xf numFmtId="165" fontId="4" fillId="0" borderId="0" pivotButton="0" quotePrefix="0" xfId="0"/>
    <xf numFmtId="0" fontId="8" fillId="0" borderId="0" applyAlignment="1" pivotButton="0" quotePrefix="0" xfId="0">
      <alignment wrapText="1"/>
    </xf>
    <xf numFmtId="170" fontId="4" fillId="0" borderId="0" pivotButton="0" quotePrefix="0" xfId="0"/>
    <xf numFmtId="3" fontId="4" fillId="0" borderId="0" pivotButton="0" quotePrefix="0" xfId="0"/>
    <xf numFmtId="2" fontId="4" fillId="0" borderId="0" pivotButton="0" quotePrefix="0" xfId="0"/>
    <xf numFmtId="168" fontId="4" fillId="0" borderId="0" pivotButton="0" quotePrefix="0" xfId="0"/>
    <xf numFmtId="1" fontId="4" fillId="0" borderId="0" pivotButton="0" quotePrefix="0" xfId="0"/>
    <xf numFmtId="169" fontId="4" fillId="0" borderId="0" pivotButton="0" quotePrefix="0" xfId="0"/>
    <xf numFmtId="10" fontId="4" fillId="4" borderId="6" pivotButton="0" quotePrefix="0" xfId="0"/>
    <xf numFmtId="0" fontId="11" fillId="0" borderId="0" pivotButton="0" quotePrefix="0" xfId="0"/>
    <xf numFmtId="165" fontId="4" fillId="4" borderId="6" pivotButton="0" quotePrefix="0" xfId="0"/>
    <xf numFmtId="164" fontId="4" fillId="0" borderId="6" pivotButton="0" quotePrefix="0" xfId="0"/>
    <xf numFmtId="165" fontId="4" fillId="0" borderId="6" pivotButton="0" quotePrefix="0" xfId="0"/>
    <xf numFmtId="166" fontId="4" fillId="4" borderId="6" pivotButton="0" quotePrefix="0" xfId="0"/>
    <xf numFmtId="10" fontId="4" fillId="0" borderId="6" pivotButton="0" quotePrefix="0" xfId="0"/>
    <xf numFmtId="166" fontId="4" fillId="0" borderId="6" pivotButton="0" quotePrefix="0" xfId="0"/>
    <xf numFmtId="166" fontId="0" fillId="0" borderId="6" pivotButton="0" quotePrefix="0" xfId="0"/>
    <xf numFmtId="165" fontId="0" fillId="0" borderId="6" pivotButton="0" quotePrefix="0" xfId="0"/>
    <xf numFmtId="166" fontId="3" fillId="0" borderId="6" pivotButton="0" quotePrefix="0" xfId="0"/>
    <xf numFmtId="3" fontId="0" fillId="0" borderId="6" pivotButton="0" quotePrefix="0" xfId="0"/>
    <xf numFmtId="168" fontId="0" fillId="0" borderId="6" pivotButton="0" quotePrefix="0" xfId="0"/>
    <xf numFmtId="4" fontId="0" fillId="0" borderId="6" pivotButton="0" quotePrefix="0" xfId="0"/>
    <xf numFmtId="0" fontId="7" fillId="3" borderId="7" pivotButton="0" quotePrefix="0" xfId="0"/>
    <xf numFmtId="0" fontId="3" fillId="0" borderId="7" pivotButton="0" quotePrefix="0" xfId="0"/>
    <xf numFmtId="0" fontId="4" fillId="0" borderId="7" pivotButton="0" quotePrefix="0" xfId="0"/>
    <xf numFmtId="0" fontId="11" fillId="0" borderId="7" applyAlignment="1" pivotButton="0" quotePrefix="0" xfId="0">
      <alignment vertical="top" wrapText="1"/>
    </xf>
    <xf numFmtId="172" fontId="0" fillId="0" borderId="1" pivotButton="0" quotePrefix="0" xfId="0"/>
    <xf numFmtId="172" fontId="4" fillId="0" borderId="1" pivotButton="0" quotePrefix="0" xfId="0"/>
    <xf numFmtId="166" fontId="4" fillId="0" borderId="1" pivotButton="0" quotePrefix="0" xfId="0"/>
    <xf numFmtId="4"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3</col>
      <colOff>0</colOff>
      <row>0</row>
      <rowOff>0</rowOff>
    </from>
    <ext cx="1809750" cy="1809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8</col>
      <colOff>0</colOff>
      <row>0</row>
      <rowOff>0</rowOff>
    </from>
    <ext cx="1143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8</col>
      <colOff>0</colOff>
      <row>0</row>
      <rowOff>0</rowOff>
    </from>
    <ext cx="1371600" cy="1371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8</col>
      <colOff>0</colOff>
      <row>0</row>
      <rowOff>0</rowOff>
    </from>
    <ext cx="1371600" cy="1371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8</col>
      <colOff>0</colOff>
      <row>0</row>
      <rowOff>0</rowOff>
    </from>
    <ext cx="1371600" cy="1371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B40"/>
  <sheetViews>
    <sheetView workbookViewId="0">
      <selection activeCell="A1" sqref="A1"/>
    </sheetView>
  </sheetViews>
  <sheetFormatPr baseColWidth="8" defaultRowHeight="15"/>
  <cols>
    <col width="28" customWidth="1" min="1" max="1"/>
    <col width="95" customWidth="1" min="2" max="2"/>
  </cols>
  <sheetData>
    <row r="1">
      <c r="A1" s="1" t="inlineStr">
        <is>
          <t>H38 ELECTRICAL CALC</t>
        </is>
      </c>
    </row>
    <row r="2">
      <c r="A2" s="2" t="inlineStr">
        <is>
          <t>By Highway 38 Solutions  -  The electrical sheets from the H38 Contractor Calc, in one workbook - calculators, reference tables, sizing tools and a quoting sheet</t>
        </is>
      </c>
    </row>
    <row r="3"/>
    <row r="4" ht="42" customHeight="1">
      <c r="A4" s="3" t="inlineStr">
        <is>
          <t>What this is</t>
        </is>
      </c>
      <c r="B4" s="4" t="inlineStr">
        <is>
          <t>The electrical calculators from the free H38 Contractor Calc web app, as a workbook you keep. The Electrical sheet with the trade tools, its reference sheet, the service, motor, generator, lighting and conduit-fill sizing tools, and a quoting sheet built on the same bid math as the app.</t>
        </is>
      </c>
    </row>
    <row r="5" ht="60" customHeight="1">
      <c r="A5" s="3" t="inlineStr">
        <is>
          <t>Start in this order</t>
        </is>
      </c>
      <c r="B5" s="4" t="inlineStr">
        <is>
          <t>1) Electrical - conduit fill, voltage drop, Ohm’s law &amp; power, and the ampacity lookup chart.  2) Electrical Reference - breaker-and-wire pairings, conduit-fill counts and box fill.  3) Service &amp; Motors, Generator &amp; Lighting and Conduit Fill Plus - the code sizing tools.  4) Electrical Quote - price the whole job on lines like the ones you actually write up.</t>
        </is>
      </c>
    </row>
    <row r="6" ht="42" customHeight="1">
      <c r="A6" s="3" t="inlineStr">
        <is>
          <t>Yellow cells</t>
        </is>
      </c>
      <c r="B6" s="4" t="inlineStr">
        <is>
          <t>Yellow = you type here. White / grey cells are formulas - don't type over them, or that calculation will stop working. Percent cells: type them as percents (20%), not decimals.</t>
        </is>
      </c>
    </row>
    <row r="7" ht="42" customHeight="1">
      <c r="A7" s="3" t="inlineStr">
        <is>
          <t>Example data</t>
        </is>
      </c>
      <c r="B7" s="4" t="inlineStr">
        <is>
          <t>Every calculator opens with the same example numbers as the web app, so the two match side by side. Replace them with your shop's real numbers before quoting a customer.</t>
        </is>
      </c>
    </row>
    <row r="8" ht="42" customHeight="1">
      <c r="A8" s="3" t="inlineStr">
        <is>
          <t>Trade specials</t>
        </is>
      </c>
      <c r="B8" s="4" t="inlineStr">
        <is>
          <t>Electrical: NEC conduit fill, voltage drop, Ohm’s law &amp; power, and the NEC ampacity lookup chart.</t>
        </is>
      </c>
    </row>
    <row r="9" ht="42" customHeight="1">
      <c r="A9" s="3" t="inlineStr">
        <is>
          <t>Estimates only</t>
        </is>
      </c>
      <c r="B9" s="4" t="inlineStr">
        <is>
          <t>Results are estimates for planning and quoting conversations - verify load calculations, code requirements, and tax figures against the governing standard (Manual J, the NEC, IRS publications) and your own books before you build, bid, or file on them.</t>
        </is>
      </c>
    </row>
    <row r="10"/>
    <row r="11">
      <c r="A11" s="5" t="inlineStr">
        <is>
          <t>Sheets:  Electrical  -  Electrical Reference  -  Service &amp; Motors  -  Generator &amp; Lighting  -  Conduit Fill Plus  -  Electrical Quote</t>
        </is>
      </c>
    </row>
    <row r="12"/>
    <row r="13">
      <c r="A13" s="14" t="inlineStr">
        <is>
          <t>QUICK REFERENCE SHEETS</t>
        </is>
      </c>
    </row>
    <row r="14" ht="60" customHeight="1">
      <c r="A14" s="14" t="inlineStr">
        <is>
          <t>Electrical Reference</t>
        </is>
      </c>
      <c r="B14" s="55" t="inlineStr">
        <is>
          <t>Breaker-and-wire pairings for the circuits you actually run, how many THHN wires fit in each EMT size, and box-fill allowances with the common box volumes.</t>
        </is>
      </c>
    </row>
    <row r="15" ht="60" customHeight="1">
      <c r="A15" s="14" t="inlineStr">
        <is>
          <t>Reference sources</t>
        </is>
      </c>
      <c r="B15" s="55" t="inlineStr">
        <is>
          <t>Tables come from the standards the trades work to: NEC Tables 310.16, 314.16 and Chapter 9. Local amendments and equipment nameplates win over any quick table.</t>
        </is>
      </c>
    </row>
    <row r="16"/>
    <row r="17">
      <c r="A17" s="14" t="inlineStr">
        <is>
          <t>MORE CALCULATORS</t>
        </is>
      </c>
    </row>
    <row r="18">
      <c r="A18" s="14" t="inlineStr">
        <is>
          <t>Service &amp; Motors</t>
        </is>
      </c>
      <c r="B18" s="9" t="inlineStr">
        <is>
          <t>NEC 220 dwelling service-load calculation (standard method) and NEC 430 motor circuit sizing - breaker, conductor and overloads straight from the code tables.</t>
        </is>
      </c>
    </row>
    <row r="19">
      <c r="A19" s="14" t="inlineStr">
        <is>
          <t>Generator &amp; Lighting</t>
        </is>
      </c>
      <c r="B19" s="9" t="inlineStr">
        <is>
          <t>Standby generator sizing estimator (running watts plus the biggest motor surge) and a lumens-method lighting layout with IES footcandle targets by room.</t>
        </is>
      </c>
    </row>
    <row r="20">
      <c r="A20" s="14" t="inlineStr">
        <is>
          <t>Conduit Fill Plus</t>
        </is>
      </c>
      <c r="B20" s="9" t="inlineStr">
        <is>
          <t>The conduit-fill calculator for every raceway in the table - EMT, IMC, RMC, PVC Schedule 40 and 80, FMC and LFMC - with the full NEC Chapter 9 area table.</t>
        </is>
      </c>
    </row>
    <row r="21">
      <c r="A21" s="14" t="inlineStr">
        <is>
          <t>New-sheet sources</t>
        </is>
      </c>
      <c r="B21" s="9" t="inlineStr">
        <is>
          <t>NEC Articles 220 and 430, Chapter 9 Tables 1, 4 and 5, and Table 310.16. Code tables transcribed from the published standards - your adopted edition and local amendments govern.</t>
        </is>
      </c>
    </row>
    <row r="22"/>
    <row r="23">
      <c r="A23" s="3" t="inlineStr">
        <is>
          <t>More charts</t>
        </is>
      </c>
      <c r="B23" s="9" t="inlineStr">
        <is>
          <t>New quick-reference charts: conduit bending (multipliers, shrink, take-up) and wire resistance (NEC Table 8) on Electrical Reference.</t>
        </is>
      </c>
    </row>
    <row r="24"/>
    <row r="25"/>
    <row r="26"/>
    <row r="27"/>
    <row r="28"/>
    <row r="29"/>
    <row r="30"/>
    <row r="31"/>
    <row r="32"/>
    <row r="33"/>
    <row r="34"/>
    <row r="35"/>
    <row r="36"/>
    <row r="37"/>
    <row r="38"/>
    <row r="39"/>
    <row r="40"/>
  </sheetData>
  <mergeCells count="3">
    <mergeCell ref="A11:B11"/>
    <mergeCell ref="A2:B2"/>
    <mergeCell ref="A1:B1"/>
  </mergeCells>
  <printOptions horizontalCentered="1"/>
  <pageMargins left="0.75" right="0.75" top="1" bottom="1" header="0.5" footer="0.5"/>
  <pageSetup orientation="portrait" fitToHeight="1" fitToWidth="1"/>
  <headerFooter>
    <oddHeader>&amp;C&amp;11 Highway 38 Solutions</oddHeader>
    <oddFooter/>
    <evenHeader>&amp;C&amp;11 Highway 38 Solutions</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F107"/>
  <sheetViews>
    <sheetView workbookViewId="0">
      <selection activeCell="A1" sqref="A1"/>
    </sheetView>
  </sheetViews>
  <sheetFormatPr baseColWidth="8" defaultRowHeight="15"/>
  <cols>
    <col width="42" customWidth="1" min="1" max="1"/>
    <col width="18" customWidth="1" min="2" max="2"/>
    <col width="62" customWidth="1" min="3" max="3"/>
    <col width="14" customWidth="1" min="4" max="4"/>
    <col width="16" customWidth="1" min="5" max="5"/>
    <col width="13" customWidth="1" min="6" max="6"/>
  </cols>
  <sheetData>
    <row r="1" ht="24" customHeight="1">
      <c r="A1" s="6" t="inlineStr">
        <is>
          <t>ELECTRICAL - Conduit fill, voltage drop, Ohm’s law &amp; ampacity</t>
        </is>
      </c>
    </row>
    <row r="2">
      <c r="A2" s="7" t="inlineStr">
        <is>
          <t>The trade tools: NEC conduit fill, voltage drop, Ohm’s law &amp; power, and the wire ampacity chart. The shared business kit - bid pricer, break-even, markup/margin, mileage, amps/kW - is on the Standard sheet, same as the app shows it on every tab.</t>
        </is>
      </c>
    </row>
    <row r="4" ht="20" customHeight="1">
      <c r="A4" s="8" t="inlineStr">
        <is>
          <t>CONDUIT FILL - THHN / THWN-2 copper in EMT</t>
        </is>
      </c>
    </row>
    <row r="5">
      <c r="A5" s="9" t="inlineStr">
        <is>
          <t>Conduit (EMT)</t>
        </is>
      </c>
      <c r="B5" s="23" t="inlineStr">
        <is>
          <t>1/2″ EMT</t>
        </is>
      </c>
      <c r="C5" s="24" t="inlineStr">
        <is>
          <t>Pick from the dropdown - areas from the reference tables below</t>
        </is>
      </c>
    </row>
    <row r="6">
      <c r="A6" s="9" t="inlineStr">
        <is>
          <t>Wire size (THHN)</t>
        </is>
      </c>
      <c r="B6" s="23" t="inlineStr">
        <is>
          <t>12 AWG</t>
        </is>
      </c>
      <c r="C6" s="24" t="inlineStr">
        <is>
          <t>Pick from the dropdown - areas from the reference tables below</t>
        </is>
      </c>
    </row>
    <row r="7">
      <c r="A7" s="9" t="inlineStr">
        <is>
          <t>Number of wires (the ground counts)</t>
        </is>
      </c>
      <c r="B7" s="10" t="n">
        <v>4</v>
      </c>
    </row>
    <row r="8">
      <c r="A8" s="9" t="inlineStr">
        <is>
          <t>Wire count used (minimum 1, rounded)</t>
        </is>
      </c>
      <c r="B8" s="20">
        <f>MAX(1,ROUND(B7,0))</f>
        <v/>
      </c>
    </row>
    <row r="9">
      <c r="A9" s="9" t="inlineStr">
        <is>
          <t>Conduit inside area (sq in)</t>
        </is>
      </c>
      <c r="B9" s="21">
        <f>VLOOKUP(B5,$A$18:$B$26,2,FALSE)</f>
        <v/>
      </c>
    </row>
    <row r="10">
      <c r="A10" s="9" t="inlineStr">
        <is>
          <t>Wire area each (sq in)</t>
        </is>
      </c>
      <c r="B10" s="28">
        <f>VLOOKUP(B6,$A$29:$B$41,2,FALSE)</f>
        <v/>
      </c>
    </row>
    <row r="11">
      <c r="A11" s="14" t="inlineStr">
        <is>
          <t>CONDUIT FILL</t>
        </is>
      </c>
      <c r="B11" s="29">
        <f>IF(B9&gt;0,B10*B8/B9,0)</f>
        <v/>
      </c>
    </row>
    <row r="12">
      <c r="A12" s="9" t="inlineStr">
        <is>
          <t>NEC limit for this wire count</t>
        </is>
      </c>
      <c r="B12" s="16">
        <f>IF(B8=1,0.53,IF(B8=2,0.31,0.4))</f>
        <v/>
      </c>
      <c r="C12" s="24" t="inlineStr">
        <is>
          <t>1 wire 53% - 2 wires 31% - 3 or more 40%</t>
        </is>
      </c>
    </row>
    <row r="13">
      <c r="A13" s="9" t="inlineStr">
        <is>
          <t>Max of this size in this conduit (at 40%)</t>
        </is>
      </c>
      <c r="B13" s="20">
        <f>IF(B10&gt;0,FLOOR(B9*0.4/B10,1),0)</f>
        <v/>
      </c>
    </row>
    <row r="14">
      <c r="A14" s="3">
        <f>IF(B11&lt;=B12,"Inside the NEC fill limit - a legal pull.","Over the limit for this wire count - upsize the conduit or split the run.")</f>
        <v/>
      </c>
    </row>
    <row r="16" ht="28" customHeight="1">
      <c r="A16" s="17" t="inlineStr">
        <is>
          <t>NEC Chapter 9: one wire may fill 53% of the conduit, two wires 31%, three or more 40%. Legal and pullable aren't the same thing - long runs with bends get miserable well before 40%.</t>
        </is>
      </c>
    </row>
    <row r="17">
      <c r="A17" s="14" t="inlineStr">
        <is>
          <t>Reference - EMT conduit inside areas (sq in)</t>
        </is>
      </c>
    </row>
    <row r="18">
      <c r="A18" s="30" t="inlineStr">
        <is>
          <t>1/2″ EMT</t>
        </is>
      </c>
      <c r="B18" s="21" t="n">
        <v>0.304</v>
      </c>
    </row>
    <row r="19">
      <c r="A19" s="30" t="inlineStr">
        <is>
          <t>3/4″ EMT</t>
        </is>
      </c>
      <c r="B19" s="21" t="n">
        <v>0.533</v>
      </c>
    </row>
    <row r="20">
      <c r="A20" s="30" t="inlineStr">
        <is>
          <t>1″ EMT</t>
        </is>
      </c>
      <c r="B20" s="21" t="n">
        <v>0.864</v>
      </c>
    </row>
    <row r="21">
      <c r="A21" s="30" t="inlineStr">
        <is>
          <t>1-1/4″ EMT</t>
        </is>
      </c>
      <c r="B21" s="21" t="n">
        <v>1.496</v>
      </c>
    </row>
    <row r="22">
      <c r="A22" s="30" t="inlineStr">
        <is>
          <t>1-1/2″ EMT</t>
        </is>
      </c>
      <c r="B22" s="21" t="n">
        <v>2.036</v>
      </c>
    </row>
    <row r="23">
      <c r="A23" s="30" t="inlineStr">
        <is>
          <t>2″ EMT</t>
        </is>
      </c>
      <c r="B23" s="21" t="n">
        <v>3.356</v>
      </c>
    </row>
    <row r="24">
      <c r="A24" s="30" t="inlineStr">
        <is>
          <t>2-1/2″ EMT</t>
        </is>
      </c>
      <c r="B24" s="21" t="n">
        <v>5.858</v>
      </c>
    </row>
    <row r="25">
      <c r="A25" s="30" t="inlineStr">
        <is>
          <t>3″ EMT</t>
        </is>
      </c>
      <c r="B25" s="21" t="n">
        <v>8.846</v>
      </c>
    </row>
    <row r="26">
      <c r="A26" s="30" t="inlineStr">
        <is>
          <t>4″ EMT</t>
        </is>
      </c>
      <c r="B26" s="21" t="n">
        <v>14.753</v>
      </c>
    </row>
    <row r="28">
      <c r="A28" s="14" t="inlineStr">
        <is>
          <t>Reference - THHN / THWN-2 wire areas (sq in)</t>
        </is>
      </c>
    </row>
    <row r="29">
      <c r="A29" s="30" t="inlineStr">
        <is>
          <t>14 AWG</t>
        </is>
      </c>
      <c r="B29" s="28" t="n">
        <v>0.0097</v>
      </c>
    </row>
    <row r="30">
      <c r="A30" s="30" t="inlineStr">
        <is>
          <t>12 AWG</t>
        </is>
      </c>
      <c r="B30" s="28" t="n">
        <v>0.0133</v>
      </c>
    </row>
    <row r="31">
      <c r="A31" s="30" t="inlineStr">
        <is>
          <t>10 AWG</t>
        </is>
      </c>
      <c r="B31" s="28" t="n">
        <v>0.0211</v>
      </c>
    </row>
    <row r="32">
      <c r="A32" s="30" t="inlineStr">
        <is>
          <t>8 AWG</t>
        </is>
      </c>
      <c r="B32" s="28" t="n">
        <v>0.0366</v>
      </c>
    </row>
    <row r="33">
      <c r="A33" s="30" t="inlineStr">
        <is>
          <t>6 AWG</t>
        </is>
      </c>
      <c r="B33" s="28" t="n">
        <v>0.0507</v>
      </c>
    </row>
    <row r="34">
      <c r="A34" s="30" t="inlineStr">
        <is>
          <t>4 AWG</t>
        </is>
      </c>
      <c r="B34" s="28" t="n">
        <v>0.0824</v>
      </c>
    </row>
    <row r="35">
      <c r="A35" s="30" t="inlineStr">
        <is>
          <t>3 AWG</t>
        </is>
      </c>
      <c r="B35" s="28" t="n">
        <v>0.0973</v>
      </c>
    </row>
    <row r="36">
      <c r="A36" s="30" t="inlineStr">
        <is>
          <t>2 AWG</t>
        </is>
      </c>
      <c r="B36" s="28" t="n">
        <v>0.1158</v>
      </c>
    </row>
    <row r="37">
      <c r="A37" s="30" t="inlineStr">
        <is>
          <t>1 AWG</t>
        </is>
      </c>
      <c r="B37" s="28" t="n">
        <v>0.1562</v>
      </c>
    </row>
    <row r="38">
      <c r="A38" s="30" t="inlineStr">
        <is>
          <t>1/0 AWG</t>
        </is>
      </c>
      <c r="B38" s="28" t="n">
        <v>0.1855</v>
      </c>
    </row>
    <row r="39">
      <c r="A39" s="30" t="inlineStr">
        <is>
          <t>2/0 AWG</t>
        </is>
      </c>
      <c r="B39" s="28" t="n">
        <v>0.2223</v>
      </c>
    </row>
    <row r="40">
      <c r="A40" s="30" t="inlineStr">
        <is>
          <t>3/0 AWG</t>
        </is>
      </c>
      <c r="B40" s="28" t="n">
        <v>0.2679</v>
      </c>
    </row>
    <row r="41">
      <c r="A41" s="30" t="inlineStr">
        <is>
          <t>4/0 AWG</t>
        </is>
      </c>
      <c r="B41" s="28" t="n">
        <v>0.3237</v>
      </c>
    </row>
    <row r="44" ht="20" customHeight="1">
      <c r="A44" s="35" t="inlineStr">
        <is>
          <t>VOLTAGE DROP - will the far end still have the volts?</t>
        </is>
      </c>
    </row>
    <row r="45">
      <c r="A45" s="9" t="inlineStr">
        <is>
          <t>Voltage (V)</t>
        </is>
      </c>
      <c r="B45" s="36" t="n">
        <v>240</v>
      </c>
    </row>
    <row r="46">
      <c r="A46" s="9" t="inlineStr">
        <is>
          <t>Load current (amps)</t>
        </is>
      </c>
      <c r="B46" s="36" t="n">
        <v>16</v>
      </c>
    </row>
    <row r="47">
      <c r="A47" s="9" t="inlineStr">
        <is>
          <t>One-way run length (ft)</t>
        </is>
      </c>
      <c r="B47" s="36" t="n">
        <v>100</v>
      </c>
    </row>
    <row r="48">
      <c r="A48" s="9" t="inlineStr">
        <is>
          <t>Wire size</t>
        </is>
      </c>
      <c r="B48" s="37" t="inlineStr">
        <is>
          <t>12 AWG</t>
        </is>
      </c>
      <c r="C48" s="9" t="inlineStr">
        <is>
          <t>Pick from the dropdown - circular mils from the table below</t>
        </is>
      </c>
    </row>
    <row r="49">
      <c r="A49" s="9" t="inlineStr">
        <is>
          <t>Conductor</t>
        </is>
      </c>
      <c r="B49" s="37" t="inlineStr">
        <is>
          <t>Copper</t>
        </is>
      </c>
      <c r="C49" s="9" t="inlineStr">
        <is>
          <t>Pick from the dropdown</t>
        </is>
      </c>
    </row>
    <row r="50">
      <c r="A50" s="9" t="inlineStr">
        <is>
          <t>Phase</t>
        </is>
      </c>
      <c r="B50" s="37" t="inlineStr">
        <is>
          <t>Single phase</t>
        </is>
      </c>
      <c r="C50" s="9" t="inlineStr">
        <is>
          <t>Pick from the dropdown</t>
        </is>
      </c>
    </row>
    <row r="51">
      <c r="A51" s="9" t="inlineStr">
        <is>
          <t>K factor used (ohm-cmil per ft)</t>
        </is>
      </c>
      <c r="B51" s="38">
        <f>IF(B49="Aluminum",21.2,12.9)</f>
        <v/>
      </c>
    </row>
    <row r="52">
      <c r="A52" s="9" t="inlineStr">
        <is>
          <t>Wire area (circular mils)</t>
        </is>
      </c>
      <c r="B52" s="39">
        <f>VLOOKUP(B48,$A$60:$B$72,2,FALSE)</f>
        <v/>
      </c>
    </row>
    <row r="53">
      <c r="A53" s="14" t="inlineStr">
        <is>
          <t>VOLTAGE DROP (V)</t>
        </is>
      </c>
      <c r="B53" s="40">
        <f>IF(B50="Three phase",SQRT(3),2)*B51*B46*B47/B52</f>
        <v/>
      </c>
    </row>
    <row r="54">
      <c r="A54" s="14" t="inlineStr">
        <is>
          <t>VOLTAGE DROP</t>
        </is>
      </c>
      <c r="B54" s="41">
        <f>IF(B45&gt;0,B53/B45,0)</f>
        <v/>
      </c>
    </row>
    <row r="55">
      <c r="A55" s="9" t="inlineStr">
        <is>
          <t>Voltage left at the load</t>
        </is>
      </c>
      <c r="B55" s="38">
        <f>B45-B53</f>
        <v/>
      </c>
    </row>
    <row r="56" ht="15" customHeight="1">
      <c r="A56" s="42">
        <f>IF(B54&lt;=0.03,"Inside the 3% branch-circuit guideline - good to pull.",IF(B54&lt;=0.05,"Over the 3% branch guideline - fine on a feeder if the total stays under 5%, or upsize the wire.","Over 5% - upsize the wire or shorten the run. Motors will complain and lights will dim."))</f>
        <v/>
      </c>
    </row>
    <row r="57" ht="28" customHeight="1">
      <c r="A57" s="43" t="inlineStr">
        <is>
          <t>The NEC suggests (it does not mandate) 3% max drop on a branch circuit and 5% feeder + branch together. K at 75°C: copper 12.9, aluminum 21.2 ohm-cmil/ft. Long run, small wire, big load - the percentage tells the story fast.</t>
        </is>
      </c>
    </row>
    <row r="59">
      <c r="A59" s="14" t="inlineStr">
        <is>
          <t>Reference - wire areas (circular mils)</t>
        </is>
      </c>
    </row>
    <row r="60">
      <c r="A60" s="44" t="inlineStr">
        <is>
          <t>14 AWG</t>
        </is>
      </c>
      <c r="B60" s="39" t="n">
        <v>4110</v>
      </c>
    </row>
    <row r="61">
      <c r="A61" s="44" t="inlineStr">
        <is>
          <t>12 AWG</t>
        </is>
      </c>
      <c r="B61" s="39" t="n">
        <v>6530</v>
      </c>
    </row>
    <row r="62">
      <c r="A62" s="44" t="inlineStr">
        <is>
          <t>10 AWG</t>
        </is>
      </c>
      <c r="B62" s="39" t="n">
        <v>10380</v>
      </c>
    </row>
    <row r="63">
      <c r="A63" s="44" t="inlineStr">
        <is>
          <t>8 AWG</t>
        </is>
      </c>
      <c r="B63" s="39" t="n">
        <v>16510</v>
      </c>
    </row>
    <row r="64">
      <c r="A64" s="44" t="inlineStr">
        <is>
          <t>6 AWG</t>
        </is>
      </c>
      <c r="B64" s="39" t="n">
        <v>26240</v>
      </c>
    </row>
    <row r="65">
      <c r="A65" s="44" t="inlineStr">
        <is>
          <t>4 AWG</t>
        </is>
      </c>
      <c r="B65" s="39" t="n">
        <v>41740</v>
      </c>
    </row>
    <row r="66">
      <c r="A66" s="44" t="inlineStr">
        <is>
          <t>3 AWG</t>
        </is>
      </c>
      <c r="B66" s="39" t="n">
        <v>52620</v>
      </c>
    </row>
    <row r="67">
      <c r="A67" s="44" t="inlineStr">
        <is>
          <t>2 AWG</t>
        </is>
      </c>
      <c r="B67" s="39" t="n">
        <v>66360</v>
      </c>
    </row>
    <row r="68">
      <c r="A68" s="44" t="inlineStr">
        <is>
          <t>1 AWG</t>
        </is>
      </c>
      <c r="B68" s="39" t="n">
        <v>83690</v>
      </c>
    </row>
    <row r="69">
      <c r="A69" s="44" t="inlineStr">
        <is>
          <t>1/0 AWG</t>
        </is>
      </c>
      <c r="B69" s="39" t="n">
        <v>105600</v>
      </c>
    </row>
    <row r="70">
      <c r="A70" s="44" t="inlineStr">
        <is>
          <t>2/0 AWG</t>
        </is>
      </c>
      <c r="B70" s="39" t="n">
        <v>133100</v>
      </c>
    </row>
    <row r="71">
      <c r="A71" s="44" t="inlineStr">
        <is>
          <t>3/0 AWG</t>
        </is>
      </c>
      <c r="B71" s="39" t="n">
        <v>167800</v>
      </c>
    </row>
    <row r="72">
      <c r="A72" s="44" t="inlineStr">
        <is>
          <t>4/0 AWG</t>
        </is>
      </c>
      <c r="B72" s="39" t="n">
        <v>211600</v>
      </c>
    </row>
    <row r="74" ht="20" customHeight="1">
      <c r="A74" s="35" t="inlineStr">
        <is>
          <t>OHM’S LAW &amp; POWER - volts, amps, ohms, watts</t>
        </is>
      </c>
    </row>
    <row r="75">
      <c r="A75" s="14" t="inlineStr">
        <is>
          <t>From volts &amp; amps:</t>
        </is>
      </c>
    </row>
    <row r="76">
      <c r="A76" s="9" t="inlineStr">
        <is>
          <t>Volts</t>
        </is>
      </c>
      <c r="B76" s="36" t="n">
        <v>240</v>
      </c>
    </row>
    <row r="77">
      <c r="A77" s="9" t="inlineStr">
        <is>
          <t>Amps</t>
        </is>
      </c>
      <c r="B77" s="45" t="n">
        <v>18.75</v>
      </c>
    </row>
    <row r="78">
      <c r="A78" s="14" t="inlineStr">
        <is>
          <t>RESISTANCE (ohms)</t>
        </is>
      </c>
      <c r="B78" s="40">
        <f>IF(B77&gt;0,B76/B77,0)</f>
        <v/>
      </c>
    </row>
    <row r="79">
      <c r="A79" s="14" t="inlineStr">
        <is>
          <t>POWER (W)</t>
        </is>
      </c>
      <c r="B79" s="46">
        <f>B76*B77</f>
        <v/>
      </c>
    </row>
    <row r="80">
      <c r="A80" s="9" t="inlineStr">
        <is>
          <t>Power (kW)</t>
        </is>
      </c>
      <c r="B80" s="38">
        <f>B79/1000</f>
        <v/>
      </c>
    </row>
    <row r="81">
      <c r="A81" s="14" t="inlineStr">
        <is>
          <t>From watts &amp; volts:</t>
        </is>
      </c>
    </row>
    <row r="82">
      <c r="A82" s="9" t="inlineStr">
        <is>
          <t>Watts</t>
        </is>
      </c>
      <c r="B82" s="36" t="n">
        <v>4500</v>
      </c>
    </row>
    <row r="83">
      <c r="A83" s="9" t="inlineStr">
        <is>
          <t>Volts</t>
        </is>
      </c>
      <c r="B83" s="36" t="n">
        <v>240</v>
      </c>
    </row>
    <row r="84">
      <c r="A84" s="14" t="inlineStr">
        <is>
          <t>DRAW (amps)</t>
        </is>
      </c>
      <c r="B84" s="40">
        <f>IF(B83&gt;0,B82/B83,0)</f>
        <v/>
      </c>
    </row>
    <row r="85">
      <c r="A85" s="9" t="inlineStr">
        <is>
          <t>Resistance (ohms)</t>
        </is>
      </c>
      <c r="B85" s="38">
        <f>IF(B84&gt;0,B83/B84,0)</f>
        <v/>
      </c>
    </row>
    <row r="86" ht="28" customHeight="1">
      <c r="A86" s="43" t="inlineStr">
        <is>
          <t>The water-heater check: a 4,500 W element on 240 V draws 18.75 A and measures 12.8 ohms cold-ish on a meter. Way off 12.8 means the element is going. V = I × R, P = V × I - the two panels above are the same law run both directions.</t>
        </is>
      </c>
    </row>
    <row r="88" ht="20" customHeight="1">
      <c r="A88" s="35" t="inlineStr">
        <is>
          <t>LOOKUP - WIRE AMPACITY (NEC Table 310.16)</t>
        </is>
      </c>
    </row>
    <row r="89" ht="28" customHeight="1">
      <c r="A89" s="43" t="inlineStr">
        <is>
          <t>Allowable ampacity, 30°C ambient, not more than three current-carrying conductors in a raceway or cable. The 75°C copper column is the one most terminations are based on. Max breaker is the NEC 240.4(D) cap for small conductors.</t>
        </is>
      </c>
    </row>
    <row r="90">
      <c r="A90" s="47" t="inlineStr">
        <is>
          <t>Size</t>
        </is>
      </c>
      <c r="B90" s="47" t="inlineStr">
        <is>
          <t>Copper 60°C</t>
        </is>
      </c>
      <c r="C90" s="47" t="inlineStr">
        <is>
          <t>Copper 75°C</t>
        </is>
      </c>
      <c r="D90" s="47" t="inlineStr">
        <is>
          <t>Copper 90°C</t>
        </is>
      </c>
      <c r="E90" s="47" t="inlineStr">
        <is>
          <t>Aluminum 75°C</t>
        </is>
      </c>
      <c r="F90" s="47" t="inlineStr">
        <is>
          <t>Max breaker</t>
        </is>
      </c>
    </row>
    <row r="91">
      <c r="A91" s="44" t="inlineStr">
        <is>
          <t>14 AWG</t>
        </is>
      </c>
      <c r="B91" s="44" t="n">
        <v>15</v>
      </c>
      <c r="C91" s="44" t="n">
        <v>20</v>
      </c>
      <c r="D91" s="44" t="n">
        <v>25</v>
      </c>
      <c r="E91" s="44" t="inlineStr">
        <is>
          <t>—</t>
        </is>
      </c>
      <c r="F91" s="44" t="n">
        <v>15</v>
      </c>
    </row>
    <row r="92">
      <c r="A92" s="44" t="inlineStr">
        <is>
          <t>12 AWG</t>
        </is>
      </c>
      <c r="B92" s="44" t="n">
        <v>20</v>
      </c>
      <c r="C92" s="44" t="n">
        <v>25</v>
      </c>
      <c r="D92" s="44" t="n">
        <v>30</v>
      </c>
      <c r="E92" s="44" t="n">
        <v>20</v>
      </c>
      <c r="F92" s="44" t="n">
        <v>20</v>
      </c>
    </row>
    <row r="93">
      <c r="A93" s="44" t="inlineStr">
        <is>
          <t>10 AWG</t>
        </is>
      </c>
      <c r="B93" s="44" t="n">
        <v>30</v>
      </c>
      <c r="C93" s="44" t="n">
        <v>35</v>
      </c>
      <c r="D93" s="44" t="n">
        <v>40</v>
      </c>
      <c r="E93" s="44" t="n">
        <v>30</v>
      </c>
      <c r="F93" s="44" t="n">
        <v>30</v>
      </c>
    </row>
    <row r="94">
      <c r="A94" s="44" t="inlineStr">
        <is>
          <t>8 AWG</t>
        </is>
      </c>
      <c r="B94" s="44" t="n">
        <v>40</v>
      </c>
      <c r="C94" s="44" t="n">
        <v>50</v>
      </c>
      <c r="D94" s="44" t="n">
        <v>55</v>
      </c>
      <c r="E94" s="44" t="n">
        <v>40</v>
      </c>
      <c r="F94" s="44" t="inlineStr">
        <is>
          <t>—</t>
        </is>
      </c>
    </row>
    <row r="95">
      <c r="A95" s="44" t="inlineStr">
        <is>
          <t>6 AWG</t>
        </is>
      </c>
      <c r="B95" s="44" t="n">
        <v>55</v>
      </c>
      <c r="C95" s="44" t="n">
        <v>65</v>
      </c>
      <c r="D95" s="44" t="n">
        <v>75</v>
      </c>
      <c r="E95" s="44" t="n">
        <v>50</v>
      </c>
      <c r="F95" s="44" t="inlineStr">
        <is>
          <t>—</t>
        </is>
      </c>
    </row>
    <row r="96">
      <c r="A96" s="44" t="inlineStr">
        <is>
          <t>4 AWG</t>
        </is>
      </c>
      <c r="B96" s="44" t="n">
        <v>70</v>
      </c>
      <c r="C96" s="44" t="n">
        <v>85</v>
      </c>
      <c r="D96" s="44" t="n">
        <v>95</v>
      </c>
      <c r="E96" s="44" t="n">
        <v>65</v>
      </c>
      <c r="F96" s="44" t="inlineStr">
        <is>
          <t>—</t>
        </is>
      </c>
    </row>
    <row r="97">
      <c r="A97" s="44" t="inlineStr">
        <is>
          <t>3 AWG</t>
        </is>
      </c>
      <c r="B97" s="44" t="n">
        <v>85</v>
      </c>
      <c r="C97" s="44" t="n">
        <v>100</v>
      </c>
      <c r="D97" s="44" t="n">
        <v>115</v>
      </c>
      <c r="E97" s="44" t="n">
        <v>75</v>
      </c>
      <c r="F97" s="44" t="inlineStr">
        <is>
          <t>—</t>
        </is>
      </c>
    </row>
    <row r="98">
      <c r="A98" s="44" t="inlineStr">
        <is>
          <t>2 AWG</t>
        </is>
      </c>
      <c r="B98" s="44" t="n">
        <v>95</v>
      </c>
      <c r="C98" s="44" t="n">
        <v>115</v>
      </c>
      <c r="D98" s="44" t="n">
        <v>130</v>
      </c>
      <c r="E98" s="44" t="n">
        <v>90</v>
      </c>
      <c r="F98" s="44" t="inlineStr">
        <is>
          <t>—</t>
        </is>
      </c>
    </row>
    <row r="99">
      <c r="A99" s="44" t="inlineStr">
        <is>
          <t>1 AWG</t>
        </is>
      </c>
      <c r="B99" s="44" t="n">
        <v>110</v>
      </c>
      <c r="C99" s="44" t="n">
        <v>130</v>
      </c>
      <c r="D99" s="44" t="n">
        <v>145</v>
      </c>
      <c r="E99" s="44" t="n">
        <v>100</v>
      </c>
      <c r="F99" s="44" t="inlineStr">
        <is>
          <t>—</t>
        </is>
      </c>
    </row>
    <row r="100">
      <c r="A100" s="44" t="inlineStr">
        <is>
          <t>1/0 AWG</t>
        </is>
      </c>
      <c r="B100" s="44" t="n">
        <v>125</v>
      </c>
      <c r="C100" s="44" t="n">
        <v>150</v>
      </c>
      <c r="D100" s="44" t="n">
        <v>170</v>
      </c>
      <c r="E100" s="44" t="n">
        <v>120</v>
      </c>
      <c r="F100" s="44" t="inlineStr">
        <is>
          <t>—</t>
        </is>
      </c>
    </row>
    <row r="101">
      <c r="A101" s="44" t="inlineStr">
        <is>
          <t>2/0 AWG</t>
        </is>
      </c>
      <c r="B101" s="44" t="n">
        <v>145</v>
      </c>
      <c r="C101" s="44" t="n">
        <v>175</v>
      </c>
      <c r="D101" s="44" t="n">
        <v>195</v>
      </c>
      <c r="E101" s="44" t="n">
        <v>135</v>
      </c>
      <c r="F101" s="44" t="inlineStr">
        <is>
          <t>—</t>
        </is>
      </c>
    </row>
    <row r="102">
      <c r="A102" s="44" t="inlineStr">
        <is>
          <t>3/0 AWG</t>
        </is>
      </c>
      <c r="B102" s="44" t="n">
        <v>165</v>
      </c>
      <c r="C102" s="44" t="n">
        <v>200</v>
      </c>
      <c r="D102" s="44" t="n">
        <v>225</v>
      </c>
      <c r="E102" s="44" t="n">
        <v>155</v>
      </c>
      <c r="F102" s="44" t="inlineStr">
        <is>
          <t>—</t>
        </is>
      </c>
    </row>
    <row r="103">
      <c r="A103" s="44" t="inlineStr">
        <is>
          <t>4/0 AWG</t>
        </is>
      </c>
      <c r="B103" s="44" t="n">
        <v>195</v>
      </c>
      <c r="C103" s="44" t="n">
        <v>230</v>
      </c>
      <c r="D103" s="44" t="n">
        <v>260</v>
      </c>
      <c r="E103" s="44" t="n">
        <v>180</v>
      </c>
      <c r="F103" s="44" t="inlineStr">
        <is>
          <t>—</t>
        </is>
      </c>
    </row>
    <row r="104">
      <c r="A104" s="44" t="inlineStr">
        <is>
          <t>250 kcmil</t>
        </is>
      </c>
      <c r="B104" s="44" t="n">
        <v>215</v>
      </c>
      <c r="C104" s="44" t="n">
        <v>255</v>
      </c>
      <c r="D104" s="44" t="n">
        <v>290</v>
      </c>
      <c r="E104" s="44" t="n">
        <v>205</v>
      </c>
      <c r="F104" s="44" t="inlineStr">
        <is>
          <t>—</t>
        </is>
      </c>
    </row>
    <row r="105">
      <c r="A105" s="44" t="inlineStr">
        <is>
          <t>300 kcmil</t>
        </is>
      </c>
      <c r="B105" s="44" t="n">
        <v>240</v>
      </c>
      <c r="C105" s="44" t="n">
        <v>285</v>
      </c>
      <c r="D105" s="44" t="n">
        <v>320</v>
      </c>
      <c r="E105" s="44" t="n">
        <v>230</v>
      </c>
      <c r="F105" s="44" t="inlineStr">
        <is>
          <t>—</t>
        </is>
      </c>
    </row>
    <row r="106">
      <c r="A106" s="44" t="inlineStr">
        <is>
          <t>500 kcmil</t>
        </is>
      </c>
      <c r="B106" s="44" t="n">
        <v>320</v>
      </c>
      <c r="C106" s="44" t="n">
        <v>380</v>
      </c>
      <c r="D106" s="44" t="n">
        <v>430</v>
      </c>
      <c r="E106" s="44" t="n">
        <v>310</v>
      </c>
      <c r="F106" s="44" t="inlineStr">
        <is>
          <t>—</t>
        </is>
      </c>
    </row>
    <row r="107" ht="28" customHeight="1">
      <c r="A107" s="43" t="inlineStr">
        <is>
          <t>The 90°C column is for derating math only - equipment terminations usually cap the job at the 60°C or 75°C column (NEC 110.14(C)). More than three current-carrying conductors, or a hot attic, and the table number gets adjusted down.</t>
        </is>
      </c>
    </row>
  </sheetData>
  <mergeCells count="14">
    <mergeCell ref="A107:F107"/>
    <mergeCell ref="A44:C44"/>
    <mergeCell ref="A1:C1"/>
    <mergeCell ref="A59:C59"/>
    <mergeCell ref="A16:C16"/>
    <mergeCell ref="A14:C14"/>
    <mergeCell ref="A74:C74"/>
    <mergeCell ref="A89:F89"/>
    <mergeCell ref="A56:C56"/>
    <mergeCell ref="A88:F88"/>
    <mergeCell ref="A4:C4"/>
    <mergeCell ref="A57:C57"/>
    <mergeCell ref="A2:C2"/>
    <mergeCell ref="A86:C86"/>
  </mergeCells>
  <dataValidations count="5">
    <dataValidation sqref="B5" showDropDown="0" showInputMessage="0" showErrorMessage="0" allowBlank="0" type="list">
      <formula1>"1/2″ EMT,3/4″ EMT,1″ EMT,1-1/4″ EMT,1-1/2″ EMT,2″ EMT,2-1/2″ EMT,3″ EMT,4″ EMT"</formula1>
    </dataValidation>
    <dataValidation sqref="B6" showDropDown="0" showInputMessage="0" showErrorMessage="0" allowBlank="0" type="list">
      <formula1>"14 AWG,12 AWG,10 AWG,8 AWG,6 AWG,4 AWG,3 AWG,2 AWG,1 AWG,1/0 AWG,2/0 AWG,3/0 AWG,4/0 AWG"</formula1>
    </dataValidation>
    <dataValidation sqref="B48" showDropDown="0" showInputMessage="0" showErrorMessage="0" allowBlank="0" error="Pick from the list" prompt="Pick from the dropdown" type="list">
      <formula1>"14 AWG,12 AWG,10 AWG,8 AWG,6 AWG,4 AWG,3 AWG,2 AWG,1 AWG,1/0 AWG,2/0 AWG,3/0 AWG,4/0 AWG"</formula1>
    </dataValidation>
    <dataValidation sqref="B49" showDropDown="0" showInputMessage="0" showErrorMessage="0" allowBlank="0" error="Pick from the list" prompt="Pick from the dropdown" type="list">
      <formula1>"Copper,Aluminum"</formula1>
    </dataValidation>
    <dataValidation sqref="B50" showDropDown="0" showInputMessage="0" showErrorMessage="0" allowBlank="0" error="Pick from the list" prompt="Pick from the dropdown" type="list">
      <formula1>"Single phase,Three phase"</formula1>
    </dataValidation>
  </dataValidations>
  <printOptions horizontalCentered="1"/>
  <pageMargins left="0.75" right="0.75" top="1" bottom="1" header="0.5" footer="0.5"/>
  <pageSetup orientation="portrait" fitToWidth="1"/>
  <headerFooter>
    <oddHeader>&amp;C&amp;11 Highway 38 Solutions</oddHeader>
    <oddFooter/>
    <evenHeader>&amp;C&amp;11 Highway 38 Solutions</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96"/>
  <sheetViews>
    <sheetView workbookViewId="0">
      <selection activeCell="A1" sqref="A1"/>
    </sheetView>
  </sheetViews>
  <sheetFormatPr baseColWidth="8" defaultRowHeight="15"/>
  <cols>
    <col width="46" customWidth="1" min="1" max="1"/>
    <col width="12.5" customWidth="1" min="2" max="2"/>
    <col width="12.5" customWidth="1" min="3" max="3"/>
    <col width="12.5" customWidth="1" min="4" max="4"/>
    <col width="12.5" customWidth="1" min="5" max="5"/>
    <col width="12.5" customWidth="1" min="6" max="6"/>
    <col width="12.5" customWidth="1" min="7" max="7"/>
  </cols>
  <sheetData>
    <row r="1" ht="24" customHeight="1">
      <c r="A1" s="56" t="inlineStr">
        <is>
          <t>ELECTRICAL REFERENCE - Circuit pairings, conduit-fill counts &amp; box fill</t>
        </is>
      </c>
    </row>
    <row r="2" ht="28" customHeight="1">
      <c r="A2" s="57" t="inlineStr">
        <is>
          <t>The quick answers before the full code book comes out: which breaker goes with which wire, how many wires fit, and how much box a job needs. Full ampacity chart and calculators are on the Electrical sheet.</t>
        </is>
      </c>
    </row>
    <row r="4" ht="20" customHeight="1">
      <c r="A4" s="35" t="inlineStr">
        <is>
          <t>COMMON CIRCUITS - breaker and copper wire pairings (residential)</t>
        </is>
      </c>
    </row>
    <row r="5">
      <c r="A5" s="14" t="inlineStr">
        <is>
          <t>Circuit</t>
        </is>
      </c>
      <c r="B5" s="14" t="inlineStr">
        <is>
          <t>Breaker (A)</t>
        </is>
      </c>
      <c r="C5" s="14" t="inlineStr">
        <is>
          <t>Copper wire</t>
        </is>
      </c>
    </row>
    <row r="6">
      <c r="A6" s="9" t="inlineStr">
        <is>
          <t>Lighting and general receptacles</t>
        </is>
      </c>
      <c r="B6" s="9" t="n">
        <v>15</v>
      </c>
      <c r="C6" s="9" t="inlineStr">
        <is>
          <t>14 AWG</t>
        </is>
      </c>
    </row>
    <row r="7">
      <c r="A7" s="9" t="inlineStr">
        <is>
          <t>General receptacles - 20-amp circuits</t>
        </is>
      </c>
      <c r="B7" s="9" t="n">
        <v>20</v>
      </c>
      <c r="C7" s="9" t="inlineStr">
        <is>
          <t>12 AWG</t>
        </is>
      </c>
    </row>
    <row r="8">
      <c r="A8" s="9" t="inlineStr">
        <is>
          <t>Kitchen small-appliance circuits (two required)</t>
        </is>
      </c>
      <c r="B8" s="9" t="n">
        <v>20</v>
      </c>
      <c r="C8" s="9" t="inlineStr">
        <is>
          <t>12 AWG</t>
        </is>
      </c>
    </row>
    <row r="9">
      <c r="A9" s="9" t="inlineStr">
        <is>
          <t>Bathroom receptacle circuit</t>
        </is>
      </c>
      <c r="B9" s="9" t="n">
        <v>20</v>
      </c>
      <c r="C9" s="9" t="inlineStr">
        <is>
          <t>12 AWG</t>
        </is>
      </c>
    </row>
    <row r="10">
      <c r="A10" s="9" t="inlineStr">
        <is>
          <t>Laundry receptacle circuit</t>
        </is>
      </c>
      <c r="B10" s="9" t="n">
        <v>20</v>
      </c>
      <c r="C10" s="9" t="inlineStr">
        <is>
          <t>12 AWG</t>
        </is>
      </c>
    </row>
    <row r="11">
      <c r="A11" s="9" t="inlineStr">
        <is>
          <t>Dishwasher or garbage disposal (dedicated)</t>
        </is>
      </c>
      <c r="B11" s="9" t="n">
        <v>15</v>
      </c>
      <c r="C11" s="9" t="inlineStr">
        <is>
          <t>14 AWG</t>
        </is>
      </c>
    </row>
    <row r="12">
      <c r="A12" s="9" t="inlineStr">
        <is>
          <t>Microwave (dedicated)</t>
        </is>
      </c>
      <c r="B12" s="9" t="n">
        <v>20</v>
      </c>
      <c r="C12" s="9" t="inlineStr">
        <is>
          <t>12 AWG</t>
        </is>
      </c>
    </row>
    <row r="13">
      <c r="A13" s="9" t="inlineStr">
        <is>
          <t>Water heater, 4,500 W at 240 V</t>
        </is>
      </c>
      <c r="B13" s="9" t="n">
        <v>30</v>
      </c>
      <c r="C13" s="9" t="inlineStr">
        <is>
          <t>10 AWG</t>
        </is>
      </c>
    </row>
    <row r="14">
      <c r="A14" s="9" t="inlineStr">
        <is>
          <t>Electric clothes dryer</t>
        </is>
      </c>
      <c r="B14" s="9" t="n">
        <v>30</v>
      </c>
      <c r="C14" s="9" t="inlineStr">
        <is>
          <t>10 AWG</t>
        </is>
      </c>
    </row>
    <row r="15">
      <c r="A15" s="9" t="inlineStr">
        <is>
          <t>Range or cooktop, up to 12 kW</t>
        </is>
      </c>
      <c r="B15" s="9" t="n">
        <v>40</v>
      </c>
      <c r="C15" s="9" t="inlineStr">
        <is>
          <t>8 AWG</t>
        </is>
      </c>
    </row>
    <row r="16">
      <c r="A16" s="9" t="inlineStr">
        <is>
          <t>Large range / 50-amp receptacle</t>
        </is>
      </c>
      <c r="B16" s="9" t="n">
        <v>50</v>
      </c>
      <c r="C16" s="9" t="inlineStr">
        <is>
          <t>6 AWG</t>
        </is>
      </c>
    </row>
    <row r="17">
      <c r="A17" s="9" t="inlineStr">
        <is>
          <t>EV charger, 48 A continuous (60 A circuit)</t>
        </is>
      </c>
      <c r="B17" s="9" t="n">
        <v>60</v>
      </c>
      <c r="C17" s="9" t="inlineStr">
        <is>
          <t>6 AWG THHN</t>
        </is>
      </c>
    </row>
    <row r="18">
      <c r="A18" s="9" t="inlineStr">
        <is>
          <t>Central A/C or heat pump</t>
        </is>
      </c>
      <c r="B18" s="9" t="inlineStr">
        <is>
          <t>Nameplate</t>
        </is>
      </c>
      <c r="C18" s="9" t="inlineStr">
        <is>
          <t>Per nameplate MCA</t>
        </is>
      </c>
    </row>
    <row r="19" ht="56" customHeight="1">
      <c r="A19" s="61" t="inlineStr">
        <is>
          <t>Breaker caps come from NEC 240.4(D): 14 AWG copper tops out at a 15 A breaker, 12 AWG at 20 A, 10 AWG at 30 A - even though the wire itself carries more in the 75 °C column. Continuous loads (EV chargers, heaters run 3+ hours) are sized at 125%. The EV row is THHN in conduit; run in NM-B cable the same charger tops out on a 50 A breaker. Air conditioners and motors play by their nameplate (MCA and max breaker), not this table.</t>
        </is>
      </c>
    </row>
    <row r="21" ht="20" customHeight="1">
      <c r="A21" s="35" t="inlineStr">
        <is>
          <t>CONDUIT FILL - most THHN wires that fit in EMT (at the 40% limit)</t>
        </is>
      </c>
    </row>
    <row r="22">
      <c r="A22" s="14" t="inlineStr">
        <is>
          <t>Wire size (THHN)</t>
        </is>
      </c>
      <c r="B22" s="14" t="inlineStr">
        <is>
          <t>1/2″ EMT</t>
        </is>
      </c>
      <c r="C22" s="14" t="inlineStr">
        <is>
          <t>3/4″ EMT</t>
        </is>
      </c>
      <c r="D22" s="14" t="inlineStr">
        <is>
          <t>1″ EMT</t>
        </is>
      </c>
      <c r="E22" s="14" t="inlineStr">
        <is>
          <t>1-1/4″ EMT</t>
        </is>
      </c>
      <c r="F22" s="14" t="inlineStr">
        <is>
          <t>1-1/2″ EMT</t>
        </is>
      </c>
      <c r="G22" s="14" t="inlineStr">
        <is>
          <t>2″ EMT</t>
        </is>
      </c>
    </row>
    <row r="23">
      <c r="A23" s="9" t="inlineStr">
        <is>
          <t>14 AWG</t>
        </is>
      </c>
      <c r="B23" s="66" t="n">
        <v>12</v>
      </c>
      <c r="C23" s="66" t="n">
        <v>21</v>
      </c>
      <c r="D23" s="66" t="n">
        <v>35</v>
      </c>
      <c r="E23" s="66" t="n">
        <v>61</v>
      </c>
      <c r="F23" s="66" t="n">
        <v>83</v>
      </c>
      <c r="G23" s="66" t="n">
        <v>138</v>
      </c>
    </row>
    <row r="24">
      <c r="A24" s="9" t="inlineStr">
        <is>
          <t>12 AWG</t>
        </is>
      </c>
      <c r="B24" s="66" t="n">
        <v>9</v>
      </c>
      <c r="C24" s="66" t="n">
        <v>16</v>
      </c>
      <c r="D24" s="66" t="n">
        <v>25</v>
      </c>
      <c r="E24" s="66" t="n">
        <v>44</v>
      </c>
      <c r="F24" s="66" t="n">
        <v>61</v>
      </c>
      <c r="G24" s="66" t="n">
        <v>100</v>
      </c>
    </row>
    <row r="25">
      <c r="A25" s="9" t="inlineStr">
        <is>
          <t>10 AWG</t>
        </is>
      </c>
      <c r="B25" s="66" t="n">
        <v>5</v>
      </c>
      <c r="C25" s="66" t="n">
        <v>10</v>
      </c>
      <c r="D25" s="66" t="n">
        <v>16</v>
      </c>
      <c r="E25" s="66" t="n">
        <v>28</v>
      </c>
      <c r="F25" s="66" t="n">
        <v>38</v>
      </c>
      <c r="G25" s="66" t="n">
        <v>63</v>
      </c>
    </row>
    <row r="26">
      <c r="A26" s="9" t="inlineStr">
        <is>
          <t>8 AWG</t>
        </is>
      </c>
      <c r="B26" s="66" t="n">
        <v>3</v>
      </c>
      <c r="C26" s="66" t="n">
        <v>5</v>
      </c>
      <c r="D26" s="66" t="n">
        <v>9</v>
      </c>
      <c r="E26" s="66" t="n">
        <v>16</v>
      </c>
      <c r="F26" s="66" t="n">
        <v>22</v>
      </c>
      <c r="G26" s="66" t="n">
        <v>36</v>
      </c>
    </row>
    <row r="27">
      <c r="A27" s="9" t="inlineStr">
        <is>
          <t>6 AWG</t>
        </is>
      </c>
      <c r="B27" s="66" t="n">
        <v>2</v>
      </c>
      <c r="C27" s="66" t="n">
        <v>4</v>
      </c>
      <c r="D27" s="66" t="n">
        <v>6</v>
      </c>
      <c r="E27" s="66" t="n">
        <v>11</v>
      </c>
      <c r="F27" s="66" t="n">
        <v>16</v>
      </c>
      <c r="G27" s="66" t="n">
        <v>26</v>
      </c>
    </row>
    <row r="28">
      <c r="A28" s="9" t="inlineStr">
        <is>
          <t>4 AWG</t>
        </is>
      </c>
      <c r="B28" s="66" t="n">
        <v>1</v>
      </c>
      <c r="C28" s="66" t="n">
        <v>2</v>
      </c>
      <c r="D28" s="66" t="n">
        <v>4</v>
      </c>
      <c r="E28" s="66" t="n">
        <v>7</v>
      </c>
      <c r="F28" s="66" t="n">
        <v>9</v>
      </c>
      <c r="G28" s="66" t="n">
        <v>16</v>
      </c>
    </row>
    <row r="29">
      <c r="A29" s="9" t="inlineStr">
        <is>
          <t>3 AWG</t>
        </is>
      </c>
      <c r="B29" s="66" t="n">
        <v>1</v>
      </c>
      <c r="C29" s="66" t="n">
        <v>2</v>
      </c>
      <c r="D29" s="66" t="n">
        <v>3</v>
      </c>
      <c r="E29" s="66" t="n">
        <v>6</v>
      </c>
      <c r="F29" s="66" t="n">
        <v>8</v>
      </c>
      <c r="G29" s="66" t="n">
        <v>13</v>
      </c>
    </row>
    <row r="30">
      <c r="A30" s="9" t="inlineStr">
        <is>
          <t>2 AWG</t>
        </is>
      </c>
      <c r="B30" s="66" t="n">
        <v>1</v>
      </c>
      <c r="C30" s="66" t="n">
        <v>1</v>
      </c>
      <c r="D30" s="66" t="n">
        <v>2</v>
      </c>
      <c r="E30" s="66" t="n">
        <v>5</v>
      </c>
      <c r="F30" s="66" t="n">
        <v>7</v>
      </c>
      <c r="G30" s="66" t="n">
        <v>11</v>
      </c>
    </row>
    <row r="31" ht="56" customHeight="1">
      <c r="A31" s="61" t="inlineStr">
        <is>
          <t>Counts include every wire in the pipe, grounds too, and are figured from the same NEC Chapter 9 areas printed on the Electrical sheet. They are for three or more wires (40% fill); one wire may fill 53% and two wires 31%. NEC Annex C can differ by one wire - it works from unrounded areas. Legal and pullable are not the same thing: long runs with bends get miserable well before these counts.</t>
        </is>
      </c>
    </row>
    <row r="33" ht="20" customHeight="1">
      <c r="A33" s="35" t="inlineStr">
        <is>
          <t>BOX FILL - how much room the wires take (NEC 314.16)</t>
        </is>
      </c>
    </row>
    <row r="34">
      <c r="A34" s="14" t="inlineStr">
        <is>
          <t>Wire size</t>
        </is>
      </c>
      <c r="B34" s="14" t="inlineStr">
        <is>
          <t>Cu in per conductor</t>
        </is>
      </c>
    </row>
    <row r="35">
      <c r="A35" s="9" t="inlineStr">
        <is>
          <t>14 AWG</t>
        </is>
      </c>
      <c r="B35" s="64" t="n">
        <v>2</v>
      </c>
    </row>
    <row r="36">
      <c r="A36" s="9" t="inlineStr">
        <is>
          <t>12 AWG</t>
        </is>
      </c>
      <c r="B36" s="64" t="n">
        <v>2.25</v>
      </c>
    </row>
    <row r="37">
      <c r="A37" s="9" t="inlineStr">
        <is>
          <t>10 AWG</t>
        </is>
      </c>
      <c r="B37" s="64" t="n">
        <v>2.5</v>
      </c>
    </row>
    <row r="38">
      <c r="A38" s="9" t="inlineStr">
        <is>
          <t>8 AWG</t>
        </is>
      </c>
      <c r="B38" s="64" t="n">
        <v>3</v>
      </c>
    </row>
    <row r="39">
      <c r="A39" s="9" t="inlineStr">
        <is>
          <t>6 AWG</t>
        </is>
      </c>
      <c r="B39" s="64" t="n">
        <v>5</v>
      </c>
    </row>
    <row r="40" ht="42" customHeight="1">
      <c r="A40" s="61" t="inlineStr">
        <is>
          <t>How to count a box: each current-carrying conductor counts once at the size above. All the ground wires together count once. All internal cable clamps together count once. Each switch or receptacle (one yoke) counts twice. Everything is figured at the largest wire in the box.</t>
        </is>
      </c>
    </row>
    <row r="41">
      <c r="A41" s="14" t="inlineStr">
        <is>
          <t>Common boxes</t>
        </is>
      </c>
      <c r="B41" s="14" t="inlineStr">
        <is>
          <t>Volume (cu in)</t>
        </is>
      </c>
    </row>
    <row r="42">
      <c r="A42" s="9" t="inlineStr">
        <is>
          <t>4 in octagon, 1-1/2 in deep</t>
        </is>
      </c>
      <c r="B42" s="62" t="n">
        <v>12.5</v>
      </c>
    </row>
    <row r="43">
      <c r="A43" s="9" t="inlineStr">
        <is>
          <t>4 in octagon, 2-1/8 in deep</t>
        </is>
      </c>
      <c r="B43" s="62" t="n">
        <v>21.5</v>
      </c>
    </row>
    <row r="44">
      <c r="A44" s="9" t="inlineStr">
        <is>
          <t>4 in square, 1-1/2 in deep</t>
        </is>
      </c>
      <c r="B44" s="62" t="n">
        <v>18</v>
      </c>
    </row>
    <row r="45">
      <c r="A45" s="9" t="inlineStr">
        <is>
          <t>4 in square, 2-1/8 in deep</t>
        </is>
      </c>
      <c r="B45" s="62" t="n">
        <v>30.3</v>
      </c>
    </row>
    <row r="46">
      <c r="A46" s="9" t="inlineStr">
        <is>
          <t>4-11/16 in square, 1-1/2 in deep</t>
        </is>
      </c>
      <c r="B46" s="62" t="n">
        <v>25.5</v>
      </c>
    </row>
    <row r="47">
      <c r="A47" s="9" t="inlineStr">
        <is>
          <t>4-11/16 in square, 2-1/8 in deep</t>
        </is>
      </c>
      <c r="B47" s="62" t="n">
        <v>42</v>
      </c>
    </row>
    <row r="48">
      <c r="A48" s="9" t="inlineStr">
        <is>
          <t>Handy box, 4 × 2-1/8 × 1-7/8 in</t>
        </is>
      </c>
      <c r="B48" s="62" t="n">
        <v>13</v>
      </c>
    </row>
    <row r="49">
      <c r="A49" s="9" t="inlineStr">
        <is>
          <t>Single-gang device box, 2-1/2 in deep</t>
        </is>
      </c>
      <c r="B49" s="62" t="n">
        <v>12.5</v>
      </c>
    </row>
    <row r="50">
      <c r="A50" s="9" t="inlineStr">
        <is>
          <t>Single-gang device box, 3-1/2 in deep</t>
        </is>
      </c>
      <c r="B50" s="62" t="n">
        <v>18</v>
      </c>
    </row>
    <row r="51" ht="56" customHeight="1">
      <c r="A51" s="61" t="inlineStr">
        <is>
          <t>Worked example, 12 AWG in a 4 in square × 1-1/2 in box (18.0 cu in): two cables in and out (4 conductors) + grounds (1) + clamps (1) + one receptacle (2) = 8 allowances × 2.25 = 18.0 cu in - exactly full on paper and a fight in real life. Step up to the 2-1/8 in deep box (30.3 cu in). Plastic boxes are stamped with their own volume - go by the stamp, not this table.</t>
        </is>
      </c>
    </row>
    <row r="53" ht="42" customHeight="1">
      <c r="A53" s="61" t="inlineStr">
        <is>
          <t>Sources: NEC Table 310.16 and 240.4(D) for the pairings (full chart on the Electrical sheet); NEC Chapter 9 Tables 4 and 5 for conduit and wire areas; NEC 314.16(A) and (B) for box volumes and counting. Local amendments and the equipment nameplate win over any quick table.</t>
        </is>
      </c>
    </row>
    <row r="55">
      <c r="A55" s="35" t="inlineStr">
        <is>
          <t>CONDUIT BENDING - multipliers, shrink &amp; take-up (offsets and 90° stubs)</t>
        </is>
      </c>
    </row>
    <row r="56">
      <c r="A56" s="14" t="inlineStr">
        <is>
          <t>Bend angle</t>
        </is>
      </c>
      <c r="B56" s="14" t="inlineStr">
        <is>
          <t>Multiplier (mark spacing ÷ offset)</t>
        </is>
      </c>
      <c r="C56" s="14" t="inlineStr">
        <is>
          <t>Shrink per inch of offset (exact)</t>
        </is>
      </c>
      <c r="D56" s="14" t="inlineStr">
        <is>
          <t>Bender-chart shrink</t>
        </is>
      </c>
      <c r="E56" s="14" t="inlineStr">
        <is>
          <t>What it gets used for</t>
        </is>
      </c>
    </row>
    <row r="57">
      <c r="A57" s="9" t="inlineStr">
        <is>
          <t>10°</t>
        </is>
      </c>
      <c r="B57" s="64">
        <f>1/SIN(RADIANS(10))</f>
        <v/>
      </c>
      <c r="C57" s="67">
        <f>TAN(RADIANS(10/2))</f>
        <v/>
      </c>
      <c r="D57" s="9" t="inlineStr">
        <is>
          <t>1/16 in</t>
        </is>
      </c>
      <c r="E57" s="4" t="inlineStr">
        <is>
          <t>Very shallow offsets, kicks where the pipe stays near the wall</t>
        </is>
      </c>
    </row>
    <row r="58">
      <c r="A58" s="9" t="inlineStr">
        <is>
          <t>22.5°</t>
        </is>
      </c>
      <c r="B58" s="64">
        <f>1/SIN(RADIANS(22.5))</f>
        <v/>
      </c>
      <c r="C58" s="67">
        <f>TAN(RADIANS(22.5/2))</f>
        <v/>
      </c>
      <c r="D58" s="9" t="inlineStr">
        <is>
          <t>3/16 in</t>
        </is>
      </c>
      <c r="E58" s="4" t="inlineStr">
        <is>
          <t>The everyday offset angle - gentle and easy to pull wire through</t>
        </is>
      </c>
    </row>
    <row r="59">
      <c r="A59" s="9" t="inlineStr">
        <is>
          <t>30°</t>
        </is>
      </c>
      <c r="B59" s="64">
        <f>1/SIN(RADIANS(30))</f>
        <v/>
      </c>
      <c r="C59" s="67">
        <f>TAN(RADIANS(30/2))</f>
        <v/>
      </c>
      <c r="D59" s="9" t="inlineStr">
        <is>
          <t>1/4 in</t>
        </is>
      </c>
      <c r="E59" s="4" t="inlineStr">
        <is>
          <t>The standard offset - multiplier 2, the one everybody memorizes</t>
        </is>
      </c>
    </row>
    <row r="60">
      <c r="A60" s="9" t="inlineStr">
        <is>
          <t>45°</t>
        </is>
      </c>
      <c r="B60" s="64">
        <f>1/SIN(RADIANS(45))</f>
        <v/>
      </c>
      <c r="C60" s="67">
        <f>TAN(RADIANS(45/2))</f>
        <v/>
      </c>
      <c r="D60" s="9" t="inlineStr">
        <is>
          <t>3/8 in</t>
        </is>
      </c>
      <c r="E60" s="4" t="inlineStr">
        <is>
          <t>Deep offsets; harder pulls, watch the fill on long runs</t>
        </is>
      </c>
    </row>
    <row r="61">
      <c r="A61" s="9" t="inlineStr">
        <is>
          <t>60°</t>
        </is>
      </c>
      <c r="B61" s="64">
        <f>1/SIN(RADIANS(60))</f>
        <v/>
      </c>
      <c r="C61" s="67">
        <f>TAN(RADIANS(60/2))</f>
        <v/>
      </c>
      <c r="D61" s="9" t="inlineStr">
        <is>
          <t>1/2 in</t>
        </is>
      </c>
      <c r="E61" s="4" t="inlineStr">
        <is>
          <t>Steep kicks and saddles; the most shrink to make up</t>
        </is>
      </c>
    </row>
    <row r="62" ht="42" customHeight="1">
      <c r="A62" s="43" t="inlineStr">
        <is>
          <t>How an offset works: space the two marks (offset depth × multiplier) apart along the conduit, bend the same angle at both marks in opposite directions, and the run shifts sideways by the offset depth. The conduit comes up short by the shrink - that is what the shrink column makes up: exact geometry in the third column, the rounded numbers printed on bender charts in the fourth. Worked example, 6 in offset at 30°: marks 12 in apart, shrink 6 × 0.268 = 1.6 in - measure the first mark 1.6 in farther along than the no-shrink layout.</t>
        </is>
      </c>
    </row>
    <row r="64">
      <c r="A64" s="14" t="inlineStr">
        <is>
          <t>90° stub-up take-up (deduct) by conduit size</t>
        </is>
      </c>
    </row>
    <row r="65">
      <c r="A65" s="14" t="inlineStr">
        <is>
          <t>Conduit (EMT)</t>
        </is>
      </c>
      <c r="B65" s="14" t="inlineStr">
        <is>
          <t>Take-up / setback (in)</t>
        </is>
      </c>
    </row>
    <row r="66">
      <c r="A66" s="9" t="inlineStr">
        <is>
          <t>1/2″</t>
        </is>
      </c>
      <c r="B66" s="9" t="n">
        <v>5</v>
      </c>
    </row>
    <row r="67">
      <c r="A67" s="9" t="inlineStr">
        <is>
          <t>3/4″</t>
        </is>
      </c>
      <c r="B67" s="9" t="n">
        <v>6</v>
      </c>
    </row>
    <row r="68">
      <c r="A68" s="9" t="inlineStr">
        <is>
          <t>1″</t>
        </is>
      </c>
      <c r="B68" s="9" t="n">
        <v>8</v>
      </c>
    </row>
    <row r="69">
      <c r="A69" s="9" t="inlineStr">
        <is>
          <t>1-1/4″</t>
        </is>
      </c>
      <c r="B69" s="9" t="n">
        <v>10</v>
      </c>
    </row>
    <row r="70" ht="30" customHeight="1">
      <c r="A70" s="43" t="inlineStr">
        <is>
          <t>Take-up is the length a 90° bend eats: mark the conduit (finished stub height − take-up) from the end and bend on the mark. These are the values stamped on most hand benders - the number on YOUR bender wins, and larger conduit and shoe benders differ.</t>
        </is>
      </c>
    </row>
    <row r="71" ht="30" customHeight="1">
      <c r="A71" s="43" t="inlineStr">
        <is>
          <t>Sources: offset geometry (multiplier = 1 ÷ sin of the angle; shrink per inch = tan of half the angle) and the standard bender-chart shrink roundings (Benfield / Klein-style charts); take-up values are the common stamped hand-bender deducts.</t>
        </is>
      </c>
    </row>
    <row r="73">
      <c r="A73" s="35" t="inlineStr">
        <is>
          <t>WIRE RESISTANCE - NEC Chapter 9 Table 8 (DC, 75 °C)</t>
        </is>
      </c>
    </row>
    <row r="74">
      <c r="A74" s="14" t="inlineStr">
        <is>
          <t>Conductor size</t>
        </is>
      </c>
      <c r="B74" s="14" t="inlineStr">
        <is>
          <t>Area (circular mils)</t>
        </is>
      </c>
      <c r="C74" s="14" t="inlineStr">
        <is>
          <t>Copper, uncoated (Ω / 1,000 ft)</t>
        </is>
      </c>
      <c r="D74" s="14" t="inlineStr">
        <is>
          <t>Aluminum (Ω / 1,000 ft)</t>
        </is>
      </c>
    </row>
    <row r="75">
      <c r="A75" s="9" t="inlineStr">
        <is>
          <t>18 AWG</t>
        </is>
      </c>
      <c r="B75" s="9" t="n">
        <v>1620</v>
      </c>
      <c r="C75" s="9" t="n">
        <v>7.79</v>
      </c>
      <c r="D75" s="9" t="n">
        <v>12.8</v>
      </c>
    </row>
    <row r="76">
      <c r="A76" s="9" t="inlineStr">
        <is>
          <t>16 AWG</t>
        </is>
      </c>
      <c r="B76" s="9" t="n">
        <v>2580</v>
      </c>
      <c r="C76" s="9" t="n">
        <v>4.89</v>
      </c>
      <c r="D76" s="9" t="n">
        <v>8.050000000000001</v>
      </c>
    </row>
    <row r="77">
      <c r="A77" s="9" t="inlineStr">
        <is>
          <t>14 AWG</t>
        </is>
      </c>
      <c r="B77" s="9" t="n">
        <v>4110</v>
      </c>
      <c r="C77" s="9" t="n">
        <v>3.07</v>
      </c>
      <c r="D77" s="9" t="n">
        <v>5.05</v>
      </c>
    </row>
    <row r="78">
      <c r="A78" s="9" t="inlineStr">
        <is>
          <t>12 AWG</t>
        </is>
      </c>
      <c r="B78" s="9" t="n">
        <v>6530</v>
      </c>
      <c r="C78" s="9" t="n">
        <v>1.93</v>
      </c>
      <c r="D78" s="9" t="n">
        <v>3.18</v>
      </c>
    </row>
    <row r="79">
      <c r="A79" s="9" t="inlineStr">
        <is>
          <t>10 AWG</t>
        </is>
      </c>
      <c r="B79" s="9" t="n">
        <v>10380</v>
      </c>
      <c r="C79" s="9" t="n">
        <v>1.21</v>
      </c>
      <c r="D79" s="9" t="n">
        <v>1.99</v>
      </c>
    </row>
    <row r="80">
      <c r="A80" s="9" t="inlineStr">
        <is>
          <t>8 AWG</t>
        </is>
      </c>
      <c r="B80" s="9" t="n">
        <v>16510</v>
      </c>
      <c r="C80" s="9" t="n">
        <v>0.764</v>
      </c>
      <c r="D80" s="9" t="n">
        <v>1.26</v>
      </c>
    </row>
    <row r="81">
      <c r="A81" s="9" t="inlineStr">
        <is>
          <t>6 AWG</t>
        </is>
      </c>
      <c r="B81" s="9" t="n">
        <v>26240</v>
      </c>
      <c r="C81" s="9" t="n">
        <v>0.491</v>
      </c>
      <c r="D81" s="9" t="n">
        <v>0.8080000000000001</v>
      </c>
    </row>
    <row r="82">
      <c r="A82" s="9" t="inlineStr">
        <is>
          <t>4 AWG</t>
        </is>
      </c>
      <c r="B82" s="9" t="n">
        <v>41740</v>
      </c>
      <c r="C82" s="9" t="n">
        <v>0.308</v>
      </c>
      <c r="D82" s="9" t="n">
        <v>0.508</v>
      </c>
    </row>
    <row r="83">
      <c r="A83" s="9" t="inlineStr">
        <is>
          <t>3 AWG</t>
        </is>
      </c>
      <c r="B83" s="9" t="n">
        <v>52620</v>
      </c>
      <c r="C83" s="9" t="n">
        <v>0.245</v>
      </c>
      <c r="D83" s="9" t="n">
        <v>0.403</v>
      </c>
    </row>
    <row r="84">
      <c r="A84" s="9" t="inlineStr">
        <is>
          <t>2 AWG</t>
        </is>
      </c>
      <c r="B84" s="9" t="n">
        <v>66360</v>
      </c>
      <c r="C84" s="9" t="n">
        <v>0.194</v>
      </c>
      <c r="D84" s="9" t="n">
        <v>0.319</v>
      </c>
    </row>
    <row r="85">
      <c r="A85" s="9" t="inlineStr">
        <is>
          <t>1 AWG</t>
        </is>
      </c>
      <c r="B85" s="9" t="n">
        <v>83690</v>
      </c>
      <c r="C85" s="9" t="n">
        <v>0.154</v>
      </c>
      <c r="D85" s="9" t="n">
        <v>0.253</v>
      </c>
    </row>
    <row r="86">
      <c r="A86" s="9" t="inlineStr">
        <is>
          <t>1/0 AWG</t>
        </is>
      </c>
      <c r="B86" s="9" t="n">
        <v>105600</v>
      </c>
      <c r="C86" s="9" t="n">
        <v>0.122</v>
      </c>
      <c r="D86" s="9" t="n">
        <v>0.201</v>
      </c>
    </row>
    <row r="87">
      <c r="A87" s="9" t="inlineStr">
        <is>
          <t>2/0 AWG</t>
        </is>
      </c>
      <c r="B87" s="9" t="n">
        <v>133100</v>
      </c>
      <c r="C87" s="9" t="n">
        <v>0.09669999999999999</v>
      </c>
      <c r="D87" s="9" t="n">
        <v>0.159</v>
      </c>
    </row>
    <row r="88">
      <c r="A88" s="9" t="inlineStr">
        <is>
          <t>3/0 AWG</t>
        </is>
      </c>
      <c r="B88" s="9" t="n">
        <v>167800</v>
      </c>
      <c r="C88" s="9" t="n">
        <v>0.0766</v>
      </c>
      <c r="D88" s="9" t="n">
        <v>0.126</v>
      </c>
    </row>
    <row r="89">
      <c r="A89" s="9" t="inlineStr">
        <is>
          <t>4/0 AWG</t>
        </is>
      </c>
      <c r="B89" s="9" t="n">
        <v>211600</v>
      </c>
      <c r="C89" s="9" t="n">
        <v>0.0608</v>
      </c>
      <c r="D89" s="9" t="n">
        <v>0.1</v>
      </c>
    </row>
    <row r="90">
      <c r="A90" s="9" t="inlineStr">
        <is>
          <t>250 kcmil</t>
        </is>
      </c>
      <c r="B90" s="9" t="n">
        <v>250000</v>
      </c>
      <c r="C90" s="9" t="n">
        <v>0.0515</v>
      </c>
      <c r="D90" s="9" t="n">
        <v>0.0848</v>
      </c>
    </row>
    <row r="91">
      <c r="A91" s="9" t="inlineStr">
        <is>
          <t>300 kcmil</t>
        </is>
      </c>
      <c r="B91" s="9" t="n">
        <v>300000</v>
      </c>
      <c r="C91" s="9" t="n">
        <v>0.0429</v>
      </c>
      <c r="D91" s="9" t="n">
        <v>0.0707</v>
      </c>
    </row>
    <row r="92">
      <c r="A92" s="9" t="inlineStr">
        <is>
          <t>350 kcmil</t>
        </is>
      </c>
      <c r="B92" s="9" t="n">
        <v>350000</v>
      </c>
      <c r="C92" s="9" t="n">
        <v>0.0367</v>
      </c>
      <c r="D92" s="9" t="n">
        <v>0.0605</v>
      </c>
    </row>
    <row r="93">
      <c r="A93" s="9" t="inlineStr">
        <is>
          <t>400 kcmil</t>
        </is>
      </c>
      <c r="B93" s="9" t="n">
        <v>400000</v>
      </c>
      <c r="C93" s="9" t="n">
        <v>0.0321</v>
      </c>
      <c r="D93" s="9" t="n">
        <v>0.0529</v>
      </c>
    </row>
    <row r="94">
      <c r="A94" s="9" t="inlineStr">
        <is>
          <t>500 kcmil</t>
        </is>
      </c>
      <c r="B94" s="9" t="n">
        <v>500000</v>
      </c>
      <c r="C94" s="9" t="n">
        <v>0.0258</v>
      </c>
      <c r="D94" s="9" t="n">
        <v>0.0424</v>
      </c>
    </row>
    <row r="95" ht="42" customHeight="1">
      <c r="A95" s="43" t="inlineStr">
        <is>
          <t>What it is for: the voltage-drop math. Voltage drop = current × resistance × the whole loop (out AND back - two times the one-way feet). Worked example: 16 A on 12 AWG copper, 100 ft one way: 16 × 1.93 × 200 ÷ 1,000 = 6.2 V dropped - that is the 2.6% the Voltage Drop calculator shows for the same run at 240 V. Resistance climbs about 0.4% per °C of conductor temperature, so a loaded conductor in a hot attic drops more than this table; 75 °C is the standard design value.</t>
        </is>
      </c>
    </row>
    <row r="96" ht="30" customHeight="1">
      <c r="A96" s="43" t="inlineStr">
        <is>
          <t>Source: NEC Chapter 9, Table 8 - conductor properties: direct-current resistance at 75 °C for uncoated copper and for aluminum, with circular-mil areas. Coated (tinned) copper runs slightly higher; stranded values shown (solid differs slightly at small sizes).</t>
        </is>
      </c>
    </row>
  </sheetData>
  <mergeCells count="22">
    <mergeCell ref="E60:G60"/>
    <mergeCell ref="A53:G53"/>
    <mergeCell ref="A4:G4"/>
    <mergeCell ref="A62:G62"/>
    <mergeCell ref="A96:G96"/>
    <mergeCell ref="A19:G19"/>
    <mergeCell ref="E59:G59"/>
    <mergeCell ref="A40:G40"/>
    <mergeCell ref="A31:G31"/>
    <mergeCell ref="E61:G61"/>
    <mergeCell ref="E57:G57"/>
    <mergeCell ref="A73:G73"/>
    <mergeCell ref="A51:G51"/>
    <mergeCell ref="A1:G1"/>
    <mergeCell ref="A70:G70"/>
    <mergeCell ref="E58:G58"/>
    <mergeCell ref="A21:G21"/>
    <mergeCell ref="A55:G55"/>
    <mergeCell ref="A95:G95"/>
    <mergeCell ref="A2:G2"/>
    <mergeCell ref="A71:G71"/>
    <mergeCell ref="A33:G33"/>
  </mergeCells>
  <pageMargins left="0.75" right="0.75" top="1" bottom="1" header="0.5" footer="0.5"/>
  <pageSetup orientation="portrait" fitToWidth="1"/>
  <headerFooter>
    <oddHeader>&amp;C&amp;11 Highway 38 Solutions</oddHeader>
    <oddFooter/>
    <evenHeader>&amp;C&amp;11 Highway 38 Solutions</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D116"/>
  <sheetViews>
    <sheetView workbookViewId="0">
      <selection activeCell="A1" sqref="A1"/>
    </sheetView>
  </sheetViews>
  <sheetFormatPr baseColWidth="8" defaultRowHeight="15"/>
  <cols>
    <col width="42" customWidth="1" min="1" max="1"/>
    <col width="18" customWidth="1" min="2" max="2"/>
    <col width="62" customWidth="1" min="3" max="3"/>
    <col width="14" customWidth="1" min="4" max="4"/>
    <col width="14" customWidth="1" min="5" max="5"/>
    <col width="14" customWidth="1" min="6" max="6"/>
    <col width="14" customWidth="1" min="7" max="7"/>
  </cols>
  <sheetData>
    <row r="1" ht="24" customHeight="1">
      <c r="A1" s="56" t="inlineStr">
        <is>
          <t>SERVICE &amp; MOTORS - NEC 220 service load &amp; NEC 430 motor circuits</t>
        </is>
      </c>
    </row>
    <row r="2" ht="28" customHeight="1">
      <c r="A2" s="2" t="inlineStr">
        <is>
          <t>The two code calculations: how big a service a house needs (NEC 220 standard method) and how to wire a motor (NEC 430 - breaker, conductor, overloads).</t>
        </is>
      </c>
    </row>
    <row r="4" ht="20" customHeight="1">
      <c r="A4" s="35" t="inlineStr">
        <is>
          <t>1 - DWELLING SERVICE LOAD - standard method (NEC 220)</t>
        </is>
      </c>
    </row>
    <row r="5">
      <c r="A5" s="9" t="inlineStr">
        <is>
          <t>Floor area of the dwelling (sq ft)</t>
        </is>
      </c>
      <c r="B5" s="36" t="n">
        <v>1800</v>
      </c>
    </row>
    <row r="6">
      <c r="A6" s="9" t="inlineStr">
        <is>
          <t>Small-appliance branch circuits (count)</t>
        </is>
      </c>
      <c r="B6" s="36" t="n">
        <v>2</v>
      </c>
      <c r="C6" s="69" t="inlineStr">
        <is>
          <t>At least two are required - NEC 210.11(C)(1).</t>
        </is>
      </c>
    </row>
    <row r="7">
      <c r="A7" s="9" t="inlineStr">
        <is>
          <t>Laundry branch circuits (count)</t>
        </is>
      </c>
      <c r="B7" s="36" t="n">
        <v>1</v>
      </c>
    </row>
    <row r="8">
      <c r="A8" s="9" t="inlineStr">
        <is>
          <t>General lighting load - 3 VA per sq ft (Table 220.12)</t>
        </is>
      </c>
      <c r="B8" s="39">
        <f>B5*3</f>
        <v/>
      </c>
    </row>
    <row r="9">
      <c r="A9" s="9" t="inlineStr">
        <is>
          <t>Small-appliance load - 1,500 VA each (220.52(A))</t>
        </is>
      </c>
      <c r="B9" s="39">
        <f>B6*1500</f>
        <v/>
      </c>
    </row>
    <row r="10">
      <c r="A10" s="9" t="inlineStr">
        <is>
          <t>Laundry load - 1,500 VA each (220.52(B))</t>
        </is>
      </c>
      <c r="B10" s="39">
        <f>B7*1500</f>
        <v/>
      </c>
    </row>
    <row r="11">
      <c r="A11" s="9" t="inlineStr">
        <is>
          <t>Subtotal before demand</t>
        </is>
      </c>
      <c r="B11" s="39">
        <f>SUM(B8:B10)</f>
        <v/>
      </c>
    </row>
    <row r="12">
      <c r="A12" s="9" t="inlineStr">
        <is>
          <t>After Table 220.42 demand</t>
        </is>
      </c>
      <c r="B12" s="39">
        <f>3000+MAX(0,MIN(B11-3000,117000))*0.35+MAX(0,B11-120000)*0.25</f>
        <v/>
      </c>
      <c r="C12" s="69" t="inlineStr">
        <is>
          <t>First 3,000 VA at 100%, the next block at 35%, anything over 120,000 VA at 25%.</t>
        </is>
      </c>
    </row>
    <row r="13">
      <c r="A13" s="14" t="inlineStr">
        <is>
          <t>Fixed appliances at nameplate (dishwasher, disposal, and the like)</t>
        </is>
      </c>
    </row>
    <row r="14">
      <c r="A14" s="9" t="inlineStr">
        <is>
          <t>Dishwasher (VA)</t>
        </is>
      </c>
      <c r="B14" s="36" t="n">
        <v>1200</v>
      </c>
    </row>
    <row r="15">
      <c r="A15" s="9" t="inlineStr">
        <is>
          <t>Garbage disposal (VA)</t>
        </is>
      </c>
      <c r="B15" s="36" t="n">
        <v>900</v>
      </c>
    </row>
    <row r="16">
      <c r="A16" s="9" t="inlineStr">
        <is>
          <t>Trash compactor (VA)</t>
        </is>
      </c>
      <c r="B16" s="36" t="n">
        <v>1000</v>
      </c>
    </row>
    <row r="17">
      <c r="A17" s="9" t="inlineStr">
        <is>
          <t>Other fixed appliance (VA)</t>
        </is>
      </c>
      <c r="B17" s="36" t="n">
        <v>500</v>
      </c>
    </row>
    <row r="18">
      <c r="A18" s="9" t="inlineStr">
        <is>
          <t>Fixed-appliance total (VA)</t>
        </is>
      </c>
      <c r="B18" s="39">
        <f>SUM(B14:B17)</f>
        <v/>
      </c>
    </row>
    <row r="19">
      <c r="A19" s="9" t="inlineStr">
        <is>
          <t>Appliances counted (lines with a load)</t>
        </is>
      </c>
      <c r="B19" s="39">
        <f>(B14&gt;0)+(B15&gt;0)+(B16&gt;0)+(B17&gt;0)</f>
        <v/>
      </c>
    </row>
    <row r="20">
      <c r="A20" s="9" t="inlineStr">
        <is>
          <t>Demand factor - 220.53 (75% when 4 or more)</t>
        </is>
      </c>
      <c r="B20" s="72">
        <f>IF(B19&gt;=4,0.75,1)</f>
        <v/>
      </c>
    </row>
    <row r="21">
      <c r="A21" s="9" t="inlineStr">
        <is>
          <t>Fixed appliances after demand (VA)</t>
        </is>
      </c>
      <c r="B21" s="39">
        <f>B18*B20</f>
        <v/>
      </c>
    </row>
    <row r="22">
      <c r="A22" s="9" t="inlineStr">
        <is>
          <t>Electric range (nameplate, kW)</t>
        </is>
      </c>
      <c r="B22" s="73" t="n">
        <v>12</v>
      </c>
    </row>
    <row r="23">
      <c r="A23" s="9" t="inlineStr">
        <is>
          <t>Range demand - Table 220.55</t>
        </is>
      </c>
      <c r="B23" s="39">
        <f>IF(B22=0,0,IF(B22&lt;=12,8000,8000+(B22-12)*400))</f>
        <v/>
      </c>
      <c r="C23" s="69" t="inlineStr">
        <is>
          <t>One range up to 12 kW counts as 8,000 VA; add 400 VA per kW over 12 (Note 1).</t>
        </is>
      </c>
    </row>
    <row r="24">
      <c r="A24" s="9" t="inlineStr">
        <is>
          <t>Clothes dryer (nameplate VA)</t>
        </is>
      </c>
      <c r="B24" s="36" t="n">
        <v>5000</v>
      </c>
    </row>
    <row r="25">
      <c r="A25" s="9" t="inlineStr">
        <is>
          <t>Dryer demand (5,000 VA minimum - 220.54)</t>
        </is>
      </c>
      <c r="B25" s="39">
        <f>IF(B24=0,0,MAX(B24,5000))</f>
        <v/>
      </c>
    </row>
    <row r="26">
      <c r="A26" s="9" t="inlineStr">
        <is>
          <t>Storage water heater (nameplate VA)</t>
        </is>
      </c>
      <c r="B26" s="36" t="n">
        <v>4500</v>
      </c>
    </row>
    <row r="27">
      <c r="A27" s="9" t="inlineStr">
        <is>
          <t>Air conditioning (VA)</t>
        </is>
      </c>
      <c r="B27" s="36" t="n">
        <v>4800</v>
      </c>
    </row>
    <row r="28">
      <c r="A28" s="9" t="inlineStr">
        <is>
          <t>Electric space heat (VA)</t>
        </is>
      </c>
      <c r="B28" s="36" t="n">
        <v>0</v>
      </c>
    </row>
    <row r="29">
      <c r="A29" s="9" t="inlineStr">
        <is>
          <t>Heating / cooling counted - larger of the two at 100%</t>
        </is>
      </c>
      <c r="B29" s="39">
        <f>MAX(B27,B28)</f>
        <v/>
      </c>
      <c r="C29" s="69" t="inlineStr">
        <is>
          <t>Heat and A/C never run together, so only the larger counts.</t>
        </is>
      </c>
    </row>
    <row r="30">
      <c r="A30" s="14" t="inlineStr">
        <is>
          <t>TOTAL CALCULATED LOAD (VA)</t>
        </is>
      </c>
      <c r="B30" s="46">
        <f>B12+B21+B23+B25+B26+B29</f>
        <v/>
      </c>
    </row>
    <row r="31">
      <c r="A31" s="9" t="inlineStr">
        <is>
          <t>Service voltage (V)</t>
        </is>
      </c>
      <c r="B31" s="36" t="n">
        <v>240</v>
      </c>
    </row>
    <row r="32">
      <c r="A32" s="9" t="inlineStr">
        <is>
          <t>Calculated load (amps)</t>
        </is>
      </c>
      <c r="B32" s="75">
        <f>IF(B31&gt;0,B30/B31,0)</f>
        <v/>
      </c>
    </row>
    <row r="33">
      <c r="A33" s="14" t="inlineStr">
        <is>
          <t>RECOMMENDED SERVICE SIZE</t>
        </is>
      </c>
      <c r="B33" s="47">
        <f>IF(B32&lt;=100,"100 A",IF(B32&lt;=125,"125 A",IF(B32&lt;=150,"150 A",IF(B32&lt;=175,"175 A",IF(B32&lt;=200,"200 A",IF(B32&lt;=225,"225 A",IF(B32&lt;=250,"250 A",IF(B32&lt;=300,"300 A",IF(B32&lt;=350,"350 A",IF(B32&lt;=400,"400 A","Over 400 A - engineered calculation"))))))))))</f>
        <v/>
      </c>
      <c r="C33" s="69" t="inlineStr">
        <is>
          <t>Standard sizes per NEC 240.6(A); a one-family dwelling service is at least 100 A (230.79(C)).</t>
        </is>
      </c>
    </row>
    <row r="34">
      <c r="A34" s="69" t="inlineStr">
        <is>
          <t>How the standard method runs (NEC 220.40-220.55): lighting at 3 VA per sq ft, Table 220.42 demand on the lighting-plus-small-appliance block, four or more fixed appliances at 75% per 220.53 - ranges, dryers, water heaters and HVAC are figured on their own lines and are NOT part of the 75% group. The optional method (220.82) often lands smaller; your inspector and the utility have the final word either way.</t>
        </is>
      </c>
    </row>
    <row r="36" ht="20" customHeight="1">
      <c r="A36" s="35" t="inlineStr">
        <is>
          <t>2 - MOTOR CIRCUIT SIZING - NEC 430</t>
        </is>
      </c>
    </row>
    <row r="37">
      <c r="A37" s="9" t="inlineStr">
        <is>
          <t>Motor horsepower (hp)</t>
        </is>
      </c>
      <c r="B37" s="73" t="n">
        <v>10</v>
      </c>
      <c r="C37" s="69" t="inlineStr">
        <is>
          <t>Use an hp from the tables at the bottom of this sheet.</t>
        </is>
      </c>
    </row>
    <row r="38">
      <c r="A38" s="9" t="inlineStr">
        <is>
          <t>Motor supply</t>
        </is>
      </c>
      <c r="B38" s="37" t="inlineStr">
        <is>
          <t>460V three-phase</t>
        </is>
      </c>
    </row>
    <row r="39">
      <c r="A39" s="9" t="inlineStr">
        <is>
          <t>Full-load current - FLC (A)</t>
        </is>
      </c>
      <c r="B39" s="76">
        <f>IFERROR(IF(B38="230V single-phase",VLOOKUP(B37,$A$53:$B$61,2,FALSE),IF(B38="230V three-phase",VLOOKUP(B37,$A$65:$C$78,2,FALSE),VLOOKUP(B37,$A$65:$C$78,3,FALSE))),"—")</f>
        <v/>
      </c>
      <c r="C39" s="69" t="inlineStr">
        <is>
          <t>From Table 430.248 / 430.250 below - sizing uses the table value, never the nameplate (430.6(A)(1)).</t>
        </is>
      </c>
    </row>
    <row r="40">
      <c r="A40" s="9" t="inlineStr">
        <is>
          <t>Breaker / fuse type</t>
        </is>
      </c>
      <c r="B40" s="37" t="inlineStr">
        <is>
          <t>Inverse-time breaker</t>
        </is>
      </c>
    </row>
    <row r="41">
      <c r="A41" s="9" t="inlineStr">
        <is>
          <t>Table 430.52 percentage for that device</t>
        </is>
      </c>
      <c r="B41" s="77">
        <f>IFERROR(VLOOKUP(B40,$A$82:$B$85,2,FALSE),"—")</f>
        <v/>
      </c>
      <c r="C41" s="69" t="inlineStr">
        <is>
          <t>Squirrel-cage motors. Wound-rotor and other types differ - see Table 430.52.</t>
        </is>
      </c>
    </row>
    <row r="42">
      <c r="A42" s="9" t="inlineStr">
        <is>
          <t>Maximum breaker / fuse size (A)</t>
        </is>
      </c>
      <c r="B42" s="76">
        <f>IF(ISNUMBER(B39),B39*B41,"—")</f>
        <v/>
      </c>
    </row>
    <row r="43">
      <c r="A43" s="14" t="inlineStr">
        <is>
          <t>RECOMMENDED BREAKER / FUSE</t>
        </is>
      </c>
      <c r="B43" s="46">
        <f>IF(NOT(ISNUMBER(B42)),"—",IF(B42&gt;600,"Over 600 A",INDEX($A$89:$A$114,SUMPRODUCT(--($A$89:$A$114&lt;B42))+1)))</f>
        <v/>
      </c>
      <c r="C43" s="69" t="inlineStr">
        <is>
          <t>Next standard size up is allowed when the computed size is not standard - 430.52(C)(1).</t>
        </is>
      </c>
    </row>
    <row r="44">
      <c r="A44" s="9" t="inlineStr">
        <is>
          <t>Conductor minimum ampacity - 125% of FLC (430.22)</t>
        </is>
      </c>
      <c r="B44" s="76">
        <f>IF(ISNUMBER(B39),B39*1.25,"—")</f>
        <v/>
      </c>
    </row>
    <row r="45">
      <c r="A45" s="14" t="inlineStr">
        <is>
          <t>SMALLEST COPPER CONDUCTOR - 75 deg C (Table 310.16)</t>
        </is>
      </c>
      <c r="B45" s="47">
        <f>IF(NOT(ISNUMBER(B44)),"—",IF(B44&gt;475,"Larger than 750 kcmil",INDEX($C$89:$C$108,SUMPRODUCT(--($D$89:$D$108&lt;B44))+1)))</f>
        <v/>
      </c>
    </row>
    <row r="46">
      <c r="A46" s="9" t="inlineStr">
        <is>
          <t>Nameplate full-load amps - FLA (A)</t>
        </is>
      </c>
      <c r="B46" s="73" t="n">
        <v>13.5</v>
      </c>
      <c r="C46" s="69" t="inlineStr">
        <is>
          <t>Off the motor nameplate. Overload protection works from this number, not the table (430.32).</t>
        </is>
      </c>
    </row>
    <row r="47">
      <c r="A47" s="9" t="inlineStr">
        <is>
          <t>Overload setting - service factor 1.15+ or 40 deg C rise (125%)</t>
        </is>
      </c>
      <c r="B47" s="75">
        <f>B46*1.25</f>
        <v/>
      </c>
    </row>
    <row r="48">
      <c r="A48" s="9" t="inlineStr">
        <is>
          <t>Overload setting - all other motors (115%)</t>
        </is>
      </c>
      <c r="B48" s="75">
        <f>B46*1.15</f>
        <v/>
      </c>
    </row>
    <row r="49">
      <c r="A49" s="69" t="inlineStr">
        <is>
          <t>The breaker in this calculation is short-circuit and ground-fault protection only - at 250% it will not protect the motor from overload. The motor still needs its own overload protection sized from the nameplate (430.32), and a controller and disconnect per Article 430. Multiple motors on one circuit follow 430.53 / 430.62, not this single-motor math.</t>
        </is>
      </c>
    </row>
    <row r="51">
      <c r="A51" s="14" t="inlineStr">
        <is>
          <t>Reference - Table 430.248 full-load current, single-phase (230 V column)</t>
        </is>
      </c>
    </row>
    <row r="52">
      <c r="A52" s="14" t="inlineStr">
        <is>
          <t>Horsepower</t>
        </is>
      </c>
      <c r="B52" s="14" t="inlineStr">
        <is>
          <t>FLC (A)</t>
        </is>
      </c>
    </row>
    <row r="53">
      <c r="A53" s="75" t="n">
        <v>0.5</v>
      </c>
      <c r="B53" s="75" t="n">
        <v>4.9</v>
      </c>
    </row>
    <row r="54">
      <c r="A54" s="75" t="n">
        <v>0.75</v>
      </c>
      <c r="B54" s="75" t="n">
        <v>6.9</v>
      </c>
    </row>
    <row r="55">
      <c r="A55" s="75" t="n">
        <v>1</v>
      </c>
      <c r="B55" s="75" t="n">
        <v>8</v>
      </c>
    </row>
    <row r="56">
      <c r="A56" s="75" t="n">
        <v>1.5</v>
      </c>
      <c r="B56" s="75" t="n">
        <v>10</v>
      </c>
    </row>
    <row r="57">
      <c r="A57" s="75" t="n">
        <v>2</v>
      </c>
      <c r="B57" s="75" t="n">
        <v>12</v>
      </c>
    </row>
    <row r="58">
      <c r="A58" s="75" t="n">
        <v>3</v>
      </c>
      <c r="B58" s="75" t="n">
        <v>17</v>
      </c>
    </row>
    <row r="59">
      <c r="A59" s="75" t="n">
        <v>5</v>
      </c>
      <c r="B59" s="75" t="n">
        <v>28</v>
      </c>
    </row>
    <row r="60">
      <c r="A60" s="75" t="n">
        <v>7.5</v>
      </c>
      <c r="B60" s="75" t="n">
        <v>40</v>
      </c>
    </row>
    <row r="61">
      <c r="A61" s="75" t="n">
        <v>10</v>
      </c>
      <c r="B61" s="75" t="n">
        <v>50</v>
      </c>
    </row>
    <row r="63">
      <c r="A63" s="14" t="inlineStr">
        <is>
          <t>Reference - Table 430.250 full-load current, three-phase</t>
        </is>
      </c>
    </row>
    <row r="64">
      <c r="A64" s="14" t="inlineStr">
        <is>
          <t>Horsepower</t>
        </is>
      </c>
      <c r="B64" s="14" t="inlineStr">
        <is>
          <t>230 V (A)</t>
        </is>
      </c>
      <c r="C64" s="14" t="inlineStr">
        <is>
          <t>460 V (A)</t>
        </is>
      </c>
    </row>
    <row r="65">
      <c r="A65" s="75" t="n">
        <v>2</v>
      </c>
      <c r="B65" s="75" t="n">
        <v>6.8</v>
      </c>
      <c r="C65" s="75" t="n">
        <v>3.4</v>
      </c>
    </row>
    <row r="66">
      <c r="A66" s="75" t="n">
        <v>3</v>
      </c>
      <c r="B66" s="75" t="n">
        <v>9.6</v>
      </c>
      <c r="C66" s="75" t="n">
        <v>4.8</v>
      </c>
    </row>
    <row r="67">
      <c r="A67" s="75" t="n">
        <v>5</v>
      </c>
      <c r="B67" s="75" t="n">
        <v>15.2</v>
      </c>
      <c r="C67" s="75" t="n">
        <v>7.6</v>
      </c>
    </row>
    <row r="68">
      <c r="A68" s="75" t="n">
        <v>7.5</v>
      </c>
      <c r="B68" s="75" t="n">
        <v>22</v>
      </c>
      <c r="C68" s="75" t="n">
        <v>11</v>
      </c>
    </row>
    <row r="69">
      <c r="A69" s="75" t="n">
        <v>10</v>
      </c>
      <c r="B69" s="75" t="n">
        <v>28</v>
      </c>
      <c r="C69" s="75" t="n">
        <v>14</v>
      </c>
    </row>
    <row r="70">
      <c r="A70" s="75" t="n">
        <v>15</v>
      </c>
      <c r="B70" s="75" t="n">
        <v>42</v>
      </c>
      <c r="C70" s="75" t="n">
        <v>21</v>
      </c>
    </row>
    <row r="71">
      <c r="A71" s="75" t="n">
        <v>20</v>
      </c>
      <c r="B71" s="75" t="n">
        <v>54</v>
      </c>
      <c r="C71" s="75" t="n">
        <v>27</v>
      </c>
    </row>
    <row r="72">
      <c r="A72" s="75" t="n">
        <v>25</v>
      </c>
      <c r="B72" s="75" t="n">
        <v>68</v>
      </c>
      <c r="C72" s="75" t="n">
        <v>34</v>
      </c>
    </row>
    <row r="73">
      <c r="A73" s="75" t="n">
        <v>30</v>
      </c>
      <c r="B73" s="75" t="n">
        <v>80</v>
      </c>
      <c r="C73" s="75" t="n">
        <v>40</v>
      </c>
    </row>
    <row r="74">
      <c r="A74" s="75" t="n">
        <v>40</v>
      </c>
      <c r="B74" s="75" t="n">
        <v>104</v>
      </c>
      <c r="C74" s="75" t="n">
        <v>52</v>
      </c>
    </row>
    <row r="75">
      <c r="A75" s="75" t="n">
        <v>50</v>
      </c>
      <c r="B75" s="75" t="n">
        <v>130</v>
      </c>
      <c r="C75" s="75" t="n">
        <v>65</v>
      </c>
    </row>
    <row r="76">
      <c r="A76" s="75" t="n">
        <v>60</v>
      </c>
      <c r="B76" s="75" t="n">
        <v>154</v>
      </c>
      <c r="C76" s="75" t="n">
        <v>77</v>
      </c>
    </row>
    <row r="77">
      <c r="A77" s="75" t="n">
        <v>75</v>
      </c>
      <c r="B77" s="75" t="n">
        <v>192</v>
      </c>
      <c r="C77" s="75" t="n">
        <v>96</v>
      </c>
    </row>
    <row r="78">
      <c r="A78" s="75" t="n">
        <v>100</v>
      </c>
      <c r="B78" s="75" t="n">
        <v>248</v>
      </c>
      <c r="C78" s="75" t="n">
        <v>124</v>
      </c>
    </row>
    <row r="80">
      <c r="A80" s="14" t="inlineStr">
        <is>
          <t>Reference - Table 430.52 percentages (squirrel-cage motors)</t>
        </is>
      </c>
    </row>
    <row r="81">
      <c r="A81" s="14" t="inlineStr">
        <is>
          <t>Device</t>
        </is>
      </c>
      <c r="B81" s="14" t="inlineStr">
        <is>
          <t>Percent of FLC</t>
        </is>
      </c>
    </row>
    <row r="82">
      <c r="A82" s="44" t="inlineStr">
        <is>
          <t>Inverse-time breaker</t>
        </is>
      </c>
      <c r="B82" s="72" t="n">
        <v>2.5</v>
      </c>
    </row>
    <row r="83">
      <c r="A83" s="44" t="inlineStr">
        <is>
          <t>Dual-element (time-delay) fuse</t>
        </is>
      </c>
      <c r="B83" s="72" t="n">
        <v>1.75</v>
      </c>
    </row>
    <row r="84">
      <c r="A84" s="44" t="inlineStr">
        <is>
          <t>Non-time-delay fuse</t>
        </is>
      </c>
      <c r="B84" s="72" t="n">
        <v>3</v>
      </c>
    </row>
    <row r="85">
      <c r="A85" s="44" t="inlineStr">
        <is>
          <t>Instantaneous-trip breaker</t>
        </is>
      </c>
      <c r="B85" s="72" t="n">
        <v>8</v>
      </c>
    </row>
    <row r="87">
      <c r="A87" s="14" t="inlineStr">
        <is>
          <t>Reference - standard breaker / fuse sizes (NEC 240.6(A)) and copper ampacity at 75 deg C (Table 310.16)</t>
        </is>
      </c>
    </row>
    <row r="88">
      <c r="A88" s="14" t="inlineStr">
        <is>
          <t>Standard size (A)</t>
        </is>
      </c>
      <c r="B88" s="14" t="inlineStr"/>
      <c r="C88" s="14" t="inlineStr">
        <is>
          <t>Conductor (copper)</t>
        </is>
      </c>
      <c r="D88" s="14" t="inlineStr">
        <is>
          <t>Ampacity (A)</t>
        </is>
      </c>
    </row>
    <row r="89">
      <c r="A89" s="39" t="n">
        <v>15</v>
      </c>
      <c r="B89" s="44" t="n"/>
      <c r="C89" s="44" t="inlineStr">
        <is>
          <t>14 AWG</t>
        </is>
      </c>
      <c r="D89" s="39" t="n">
        <v>20</v>
      </c>
    </row>
    <row r="90">
      <c r="A90" s="39" t="n">
        <v>20</v>
      </c>
      <c r="B90" s="44" t="n"/>
      <c r="C90" s="44" t="inlineStr">
        <is>
          <t>12 AWG</t>
        </is>
      </c>
      <c r="D90" s="39" t="n">
        <v>25</v>
      </c>
    </row>
    <row r="91">
      <c r="A91" s="39" t="n">
        <v>25</v>
      </c>
      <c r="B91" s="44" t="n"/>
      <c r="C91" s="44" t="inlineStr">
        <is>
          <t>10 AWG</t>
        </is>
      </c>
      <c r="D91" s="39" t="n">
        <v>35</v>
      </c>
    </row>
    <row r="92">
      <c r="A92" s="39" t="n">
        <v>30</v>
      </c>
      <c r="B92" s="44" t="n"/>
      <c r="C92" s="44" t="inlineStr">
        <is>
          <t>8 AWG</t>
        </is>
      </c>
      <c r="D92" s="39" t="n">
        <v>50</v>
      </c>
    </row>
    <row r="93">
      <c r="A93" s="39" t="n">
        <v>35</v>
      </c>
      <c r="B93" s="44" t="n"/>
      <c r="C93" s="44" t="inlineStr">
        <is>
          <t>6 AWG</t>
        </is>
      </c>
      <c r="D93" s="39" t="n">
        <v>65</v>
      </c>
    </row>
    <row r="94">
      <c r="A94" s="39" t="n">
        <v>40</v>
      </c>
      <c r="B94" s="44" t="n"/>
      <c r="C94" s="44" t="inlineStr">
        <is>
          <t>4 AWG</t>
        </is>
      </c>
      <c r="D94" s="39" t="n">
        <v>85</v>
      </c>
    </row>
    <row r="95">
      <c r="A95" s="39" t="n">
        <v>45</v>
      </c>
      <c r="B95" s="44" t="n"/>
      <c r="C95" s="44" t="inlineStr">
        <is>
          <t>3 AWG</t>
        </is>
      </c>
      <c r="D95" s="39" t="n">
        <v>100</v>
      </c>
    </row>
    <row r="96">
      <c r="A96" s="39" t="n">
        <v>50</v>
      </c>
      <c r="B96" s="44" t="n"/>
      <c r="C96" s="44" t="inlineStr">
        <is>
          <t>2 AWG</t>
        </is>
      </c>
      <c r="D96" s="39" t="n">
        <v>115</v>
      </c>
    </row>
    <row r="97">
      <c r="A97" s="39" t="n">
        <v>60</v>
      </c>
      <c r="B97" s="44" t="n"/>
      <c r="C97" s="44" t="inlineStr">
        <is>
          <t>1 AWG</t>
        </is>
      </c>
      <c r="D97" s="39" t="n">
        <v>130</v>
      </c>
    </row>
    <row r="98">
      <c r="A98" s="39" t="n">
        <v>70</v>
      </c>
      <c r="B98" s="44" t="n"/>
      <c r="C98" s="44" t="inlineStr">
        <is>
          <t>1/0 AWG</t>
        </is>
      </c>
      <c r="D98" s="39" t="n">
        <v>150</v>
      </c>
    </row>
    <row r="99">
      <c r="A99" s="39" t="n">
        <v>80</v>
      </c>
      <c r="B99" s="44" t="n"/>
      <c r="C99" s="44" t="inlineStr">
        <is>
          <t>2/0 AWG</t>
        </is>
      </c>
      <c r="D99" s="39" t="n">
        <v>175</v>
      </c>
    </row>
    <row r="100">
      <c r="A100" s="39" t="n">
        <v>90</v>
      </c>
      <c r="B100" s="44" t="n"/>
      <c r="C100" s="44" t="inlineStr">
        <is>
          <t>3/0 AWG</t>
        </is>
      </c>
      <c r="D100" s="39" t="n">
        <v>200</v>
      </c>
    </row>
    <row r="101">
      <c r="A101" s="39" t="n">
        <v>100</v>
      </c>
      <c r="B101" s="44" t="n"/>
      <c r="C101" s="44" t="inlineStr">
        <is>
          <t>4/0 AWG</t>
        </is>
      </c>
      <c r="D101" s="39" t="n">
        <v>230</v>
      </c>
    </row>
    <row r="102">
      <c r="A102" s="39" t="n">
        <v>110</v>
      </c>
      <c r="B102" s="44" t="n"/>
      <c r="C102" s="44" t="inlineStr">
        <is>
          <t>250 kcmil</t>
        </is>
      </c>
      <c r="D102" s="39" t="n">
        <v>255</v>
      </c>
    </row>
    <row r="103">
      <c r="A103" s="39" t="n">
        <v>125</v>
      </c>
      <c r="B103" s="44" t="n"/>
      <c r="C103" s="44" t="inlineStr">
        <is>
          <t>300 kcmil</t>
        </is>
      </c>
      <c r="D103" s="39" t="n">
        <v>285</v>
      </c>
    </row>
    <row r="104">
      <c r="A104" s="39" t="n">
        <v>150</v>
      </c>
      <c r="B104" s="44" t="n"/>
      <c r="C104" s="44" t="inlineStr">
        <is>
          <t>350 kcmil</t>
        </is>
      </c>
      <c r="D104" s="39" t="n">
        <v>310</v>
      </c>
    </row>
    <row r="105">
      <c r="A105" s="39" t="n">
        <v>175</v>
      </c>
      <c r="B105" s="44" t="n"/>
      <c r="C105" s="44" t="inlineStr">
        <is>
          <t>400 kcmil</t>
        </is>
      </c>
      <c r="D105" s="39" t="n">
        <v>335</v>
      </c>
    </row>
    <row r="106">
      <c r="A106" s="39" t="n">
        <v>200</v>
      </c>
      <c r="B106" s="44" t="n"/>
      <c r="C106" s="44" t="inlineStr">
        <is>
          <t>500 kcmil</t>
        </is>
      </c>
      <c r="D106" s="39" t="n">
        <v>380</v>
      </c>
    </row>
    <row r="107">
      <c r="A107" s="39" t="n">
        <v>225</v>
      </c>
      <c r="B107" s="44" t="n"/>
      <c r="C107" s="44" t="inlineStr">
        <is>
          <t>600 kcmil</t>
        </is>
      </c>
      <c r="D107" s="39" t="n">
        <v>420</v>
      </c>
    </row>
    <row r="108">
      <c r="A108" s="39" t="n">
        <v>250</v>
      </c>
      <c r="B108" s="44" t="n"/>
      <c r="C108" s="44" t="inlineStr">
        <is>
          <t>750 kcmil</t>
        </is>
      </c>
      <c r="D108" s="39" t="n">
        <v>475</v>
      </c>
    </row>
    <row r="109">
      <c r="A109" s="39" t="n">
        <v>300</v>
      </c>
      <c r="B109" s="44" t="n"/>
      <c r="C109" s="44" t="n"/>
      <c r="D109" s="39" t="n"/>
    </row>
    <row r="110">
      <c r="A110" s="39" t="n">
        <v>350</v>
      </c>
      <c r="B110" s="44" t="n"/>
      <c r="C110" s="44" t="n"/>
      <c r="D110" s="39" t="n"/>
    </row>
    <row r="111">
      <c r="A111" s="39" t="n">
        <v>400</v>
      </c>
      <c r="B111" s="44" t="n"/>
      <c r="C111" s="44" t="n"/>
      <c r="D111" s="39" t="n"/>
    </row>
    <row r="112">
      <c r="A112" s="39" t="n">
        <v>450</v>
      </c>
      <c r="B112" s="44" t="n"/>
      <c r="C112" s="44" t="n"/>
      <c r="D112" s="39" t="n"/>
    </row>
    <row r="113">
      <c r="A113" s="39" t="n">
        <v>500</v>
      </c>
      <c r="B113" s="44" t="n"/>
      <c r="C113" s="44" t="n"/>
      <c r="D113" s="39" t="n"/>
    </row>
    <row r="114">
      <c r="A114" s="39" t="n">
        <v>600</v>
      </c>
      <c r="B114" s="44" t="n"/>
      <c r="C114" s="44" t="n"/>
      <c r="D114" s="39" t="n"/>
    </row>
    <row r="116">
      <c r="A116" s="69" t="inlineStr">
        <is>
          <t>Tables on this sheet: NEC Table 220.12 / 220.42 / 220.52 / 220.53 / 220.54 / 220.55 (service load), Table 430.248 and 430.250 (motor full-load current), Table 430.52 (motor branch-circuit device percentages), 240.6(A) standard ratings, and Table 310.16 copper ampacity at 75 deg C. Ampacity is before any adjustment for conductor count or ambient temperature (310.15).</t>
        </is>
      </c>
    </row>
  </sheetData>
  <mergeCells count="7">
    <mergeCell ref="A36:C36"/>
    <mergeCell ref="A49:C49"/>
    <mergeCell ref="A116:C116"/>
    <mergeCell ref="A1:C1"/>
    <mergeCell ref="A34:C34"/>
    <mergeCell ref="A4:C4"/>
    <mergeCell ref="A2:C2"/>
  </mergeCells>
  <dataValidations count="2">
    <dataValidation sqref="B38" showDropDown="0" showInputMessage="0" showErrorMessage="0" allowBlank="0" type="list">
      <formula1>"230V single-phase,230V three-phase,460V three-phase"</formula1>
    </dataValidation>
    <dataValidation sqref="B40" showDropDown="0" showInputMessage="0" showErrorMessage="0" allowBlank="0" type="list">
      <formula1>"Inverse-time breaker,Dual-element (time-delay) fuse,Non-time-delay fuse,Instantaneous-trip breaker"</formula1>
    </dataValidation>
  </dataValidations>
  <pageMargins left="0.75" right="0.75" top="1" bottom="1" header="0.5" footer="0.5"/>
  <pageSetup orientation="portrait" fitToWidth="1"/>
  <headerFooter>
    <oddHeader>&amp;C&amp;11 Highway 38 Solutions</oddHeader>
    <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F71"/>
  <sheetViews>
    <sheetView workbookViewId="0">
      <selection activeCell="A1" sqref="A1"/>
    </sheetView>
  </sheetViews>
  <sheetFormatPr baseColWidth="8" defaultRowHeight="15"/>
  <cols>
    <col width="42" customWidth="1" min="1" max="1"/>
    <col width="18" customWidth="1" min="2" max="2"/>
    <col width="18" customWidth="1" min="3" max="3"/>
    <col width="18" customWidth="1" min="4" max="4"/>
    <col width="16" customWidth="1" min="5" max="5"/>
    <col width="56" customWidth="1" min="6" max="6"/>
  </cols>
  <sheetData>
    <row r="1" ht="24" customHeight="1">
      <c r="A1" s="56" t="inlineStr">
        <is>
          <t>GENERATOR &amp; LIGHTING - Standby sizing estimator &amp; lumens-method layout</t>
        </is>
      </c>
    </row>
    <row r="2" ht="28" customHeight="1">
      <c r="A2" s="2" t="inlineStr">
        <is>
          <t>Two planning tools: a generator estimator built on running watts plus the biggest motor surge, and a lighting layout by the lumens method.</t>
        </is>
      </c>
    </row>
    <row r="4" ht="20" customHeight="1">
      <c r="A4" s="35" t="inlineStr">
        <is>
          <t>1 - GENERATOR SIZING - ESTIMATOR (running watts + worst motor surge)</t>
        </is>
      </c>
    </row>
    <row r="5">
      <c r="A5" s="14" t="inlineStr">
        <is>
          <t>Load</t>
        </is>
      </c>
      <c r="B5" s="14" t="inlineStr">
        <is>
          <t>Running watts</t>
        </is>
      </c>
      <c r="C5" s="14" t="inlineStr">
        <is>
          <t>Starting watts</t>
        </is>
      </c>
      <c r="D5" s="14" t="inlineStr">
        <is>
          <t>Extra surge (W)</t>
        </is>
      </c>
    </row>
    <row r="6">
      <c r="A6" s="44" t="inlineStr">
        <is>
          <t>Furnace blower / air handler</t>
        </is>
      </c>
      <c r="B6" s="36" t="n">
        <v>800</v>
      </c>
      <c r="C6" s="36" t="n">
        <v>1600</v>
      </c>
      <c r="D6" s="39">
        <f>MAX(0,C6-B6)</f>
        <v/>
      </c>
    </row>
    <row r="7">
      <c r="A7" s="44" t="inlineStr">
        <is>
          <t>Refrigerator</t>
        </is>
      </c>
      <c r="B7" s="36" t="n">
        <v>200</v>
      </c>
      <c r="C7" s="36" t="n">
        <v>1200</v>
      </c>
      <c r="D7" s="39">
        <f>MAX(0,C7-B7)</f>
        <v/>
      </c>
    </row>
    <row r="8">
      <c r="A8" s="44" t="inlineStr">
        <is>
          <t>Well pump</t>
        </is>
      </c>
      <c r="B8" s="36" t="n">
        <v>1500</v>
      </c>
      <c r="C8" s="36" t="n">
        <v>4500</v>
      </c>
      <c r="D8" s="39">
        <f>MAX(0,C8-B8)</f>
        <v/>
      </c>
    </row>
    <row r="9">
      <c r="A9" s="44" t="inlineStr">
        <is>
          <t>Sump pump</t>
        </is>
      </c>
      <c r="B9" s="36" t="n">
        <v>800</v>
      </c>
      <c r="C9" s="36" t="n">
        <v>1300</v>
      </c>
      <c r="D9" s="39">
        <f>MAX(0,C9-B9)</f>
        <v/>
      </c>
    </row>
    <row r="10">
      <c r="A10" s="44" t="inlineStr">
        <is>
          <t>Lights - LED, whole house</t>
        </is>
      </c>
      <c r="B10" s="36" t="n">
        <v>600</v>
      </c>
      <c r="C10" s="36" t="n">
        <v>600</v>
      </c>
      <c r="D10" s="39">
        <f>MAX(0,C10-B10)</f>
        <v/>
      </c>
    </row>
    <row r="11">
      <c r="A11" s="44" t="inlineStr">
        <is>
          <t>TV, internet &amp; electronics</t>
        </is>
      </c>
      <c r="B11" s="36" t="n">
        <v>400</v>
      </c>
      <c r="C11" s="36" t="n">
        <v>400</v>
      </c>
      <c r="D11" s="39">
        <f>MAX(0,C11-B11)</f>
        <v/>
      </c>
    </row>
    <row r="12">
      <c r="A12" s="44" t="inlineStr">
        <is>
          <t>Microwave</t>
        </is>
      </c>
      <c r="B12" s="36" t="n">
        <v>1500</v>
      </c>
      <c r="C12" s="36" t="n">
        <v>1500</v>
      </c>
      <c r="D12" s="39">
        <f>MAX(0,C12-B12)</f>
        <v/>
      </c>
    </row>
    <row r="13">
      <c r="A13" s="44" t="inlineStr">
        <is>
          <t>Electric water heater</t>
        </is>
      </c>
      <c r="B13" s="36" t="n">
        <v>4500</v>
      </c>
      <c r="C13" s="36" t="n">
        <v>4500</v>
      </c>
      <c r="D13" s="39">
        <f>MAX(0,C13-B13)</f>
        <v/>
      </c>
    </row>
    <row r="14">
      <c r="A14" s="14" t="inlineStr">
        <is>
          <t>Total running watts</t>
        </is>
      </c>
      <c r="B14" s="46">
        <f>SUM(B6:B13)</f>
        <v/>
      </c>
    </row>
    <row r="15">
      <c r="A15" s="9" t="inlineStr">
        <is>
          <t>Largest single surge (extra watts)</t>
        </is>
      </c>
      <c r="B15" s="39">
        <f>MAX(D6:D13)</f>
        <v/>
      </c>
    </row>
    <row r="16">
      <c r="A16" s="14" t="inlineStr">
        <is>
          <t>Watts the generator must carry</t>
        </is>
      </c>
      <c r="B16" s="46">
        <f>B14+B15</f>
        <v/>
      </c>
    </row>
    <row r="17">
      <c r="A17" s="9" t="inlineStr">
        <is>
          <t>Headroom for the next load you forgot</t>
        </is>
      </c>
      <c r="B17" s="70" t="n">
        <v>0.2</v>
      </c>
    </row>
    <row r="18">
      <c r="A18" s="9" t="inlineStr">
        <is>
          <t>Recommended generator capacity (W)</t>
        </is>
      </c>
      <c r="B18" s="39">
        <f>ROUNDUP(B16*(1+B17),0)</f>
        <v/>
      </c>
    </row>
    <row r="19">
      <c r="A19" s="14" t="inlineStr">
        <is>
          <t>SUGGESTED STANDBY SIZE (kW)</t>
        </is>
      </c>
      <c r="B19" s="78">
        <f>IF(B18/1000&gt;MAX($A$55:$A$69),"Over 60 kW",INDEX($A$55:$A$69,SUMPRODUCT(--($A$55:$A$69&lt;B18/1000))+1))</f>
        <v/>
      </c>
      <c r="C19" s="69" t="inlineStr">
        <is>
          <t>From the standard standby sizes in the table below. Portable units come in more sizes - match the watts, not the label.</t>
        </is>
      </c>
    </row>
    <row r="20">
      <c r="A20" s="69" t="inlineStr">
        <is>
          <t>ESTIMATOR - the sizing method in every manufacturer's guide: add up everything that runs at the same time, then add the single biggest motor's starting surge on top, because only one motor starts at a time. A motor with no published surge usually starts at 2-3x its running watts; a deep-well pump can pull 4-5x, and its nameplate LRA is the honest number when you can read it. Ratings differ on propane vs. natural gas, and altitude derates an engine about 3.5% per 1,000 ft - a generator that is big enough on paper in Denver is not the same machine.</t>
        </is>
      </c>
    </row>
    <row r="22" ht="20" customHeight="1">
      <c r="A22" s="35" t="inlineStr">
        <is>
          <t>2 - LIGHTING LAYOUT - lumens method</t>
        </is>
      </c>
    </row>
    <row r="23">
      <c r="A23" s="9" t="inlineStr">
        <is>
          <t>Room type</t>
        </is>
      </c>
      <c r="B23" s="37" t="inlineStr">
        <is>
          <t>Kitchen - general</t>
        </is>
      </c>
    </row>
    <row r="24">
      <c r="A24" s="9" t="inlineStr">
        <is>
          <t>Target light level (footcandles)</t>
        </is>
      </c>
      <c r="B24" s="79">
        <f>IFERROR(VLOOKUP(B23,$A$42:$B$51,2,FALSE),"—")</f>
        <v/>
      </c>
      <c r="C24" s="69" t="inlineStr">
        <is>
          <t>Common IES recommendations for homes - see the table below.</t>
        </is>
      </c>
    </row>
    <row r="25">
      <c r="A25" s="9" t="inlineStr">
        <is>
          <t>Room length (ft)</t>
        </is>
      </c>
      <c r="B25" s="73" t="n">
        <v>15</v>
      </c>
    </row>
    <row r="26">
      <c r="A26" s="9" t="inlineStr">
        <is>
          <t>Room width (ft)</t>
        </is>
      </c>
      <c r="B26" s="73" t="n">
        <v>12</v>
      </c>
    </row>
    <row r="27">
      <c r="A27" s="9" t="inlineStr">
        <is>
          <t>Room area (sq ft)</t>
        </is>
      </c>
      <c r="B27" s="39">
        <f>B25*B26</f>
        <v/>
      </c>
    </row>
    <row r="28">
      <c r="A28" s="9" t="inlineStr">
        <is>
          <t>Lumens per fixture (from the box)</t>
        </is>
      </c>
      <c r="B28" s="36" t="n">
        <v>1600</v>
      </c>
    </row>
    <row r="29">
      <c r="A29" s="9" t="inlineStr">
        <is>
          <t>Coefficient of utilization - CU</t>
        </is>
      </c>
      <c r="B29" s="45" t="n">
        <v>0.6</v>
      </c>
      <c r="C29" s="69" t="inlineStr">
        <is>
          <t>0.6 is a middle value for light walls and a normal ceiling height.</t>
        </is>
      </c>
    </row>
    <row r="30">
      <c r="A30" s="9" t="inlineStr">
        <is>
          <t>Light loss factor - LLF</t>
        </is>
      </c>
      <c r="B30" s="45" t="n">
        <v>0.8</v>
      </c>
      <c r="C30" s="69" t="inlineStr">
        <is>
          <t>0.8 allows for dirt and LED aging.</t>
        </is>
      </c>
    </row>
    <row r="31">
      <c r="A31" s="9" t="inlineStr">
        <is>
          <t>Lumens the room needs</t>
        </is>
      </c>
      <c r="B31" s="39">
        <f>B27*B24</f>
        <v/>
      </c>
    </row>
    <row r="32">
      <c r="A32" s="9" t="inlineStr">
        <is>
          <t>Working lumens per fixture</t>
        </is>
      </c>
      <c r="B32" s="39">
        <f>B28*B29*B30</f>
        <v/>
      </c>
    </row>
    <row r="33">
      <c r="A33" s="14" t="inlineStr">
        <is>
          <t>FIXTURES NEEDED</t>
        </is>
      </c>
      <c r="B33" s="46">
        <f>IF(B32&gt;0,ROUNDUP(B31/B32,0),0)</f>
        <v/>
      </c>
    </row>
    <row r="34">
      <c r="A34" s="9" t="inlineStr">
        <is>
          <t>Light level that actually gives (footcandles)</t>
        </is>
      </c>
      <c r="B34" s="75">
        <f>IF(B27&gt;0,B33*B32/B27,0)</f>
        <v/>
      </c>
    </row>
    <row r="35">
      <c r="A35" s="9" t="inlineStr">
        <is>
          <t>Fixture efficacy (lumens per watt)</t>
        </is>
      </c>
      <c r="B35" s="36" t="n">
        <v>100</v>
      </c>
      <c r="C35" s="69" t="inlineStr">
        <is>
          <t>Typical LED: 90-120. The box or spec sheet says.</t>
        </is>
      </c>
    </row>
    <row r="36">
      <c r="A36" s="9" t="inlineStr">
        <is>
          <t>Watts per fixture</t>
        </is>
      </c>
      <c r="B36" s="75">
        <f>IF(B35&gt;0,B28/B35,0)</f>
        <v/>
      </c>
    </row>
    <row r="37">
      <c r="A37" s="9" t="inlineStr">
        <is>
          <t>Total watts for the room</t>
        </is>
      </c>
      <c r="B37" s="39">
        <f>IF(B35&gt;0,B33*B28/B35,0)</f>
        <v/>
      </c>
    </row>
    <row r="38">
      <c r="A38" s="69" t="inlineStr">
        <is>
          <t>Lumens method: fixtures = (area x target footcandles) / (lumens per fixture x CU x LLF). It gives an average light level for the room - task spots (under-cabinet, vanity, bench) still want their own fixtures aimed at the work. Dark walls, tall ceilings and dirty fixtures all pull the real level below the paper number.</t>
        </is>
      </c>
    </row>
    <row r="40">
      <c r="A40" s="14" t="inlineStr">
        <is>
          <t>Reference - target light levels (footcandles), common IES residential recommendations</t>
        </is>
      </c>
    </row>
    <row r="41">
      <c r="A41" s="14" t="inlineStr">
        <is>
          <t>Room type</t>
        </is>
      </c>
      <c r="B41" s="14" t="inlineStr">
        <is>
          <t>Footcandles</t>
        </is>
      </c>
    </row>
    <row r="42">
      <c r="A42" s="44" t="inlineStr">
        <is>
          <t>Living room</t>
        </is>
      </c>
      <c r="B42" s="39" t="n">
        <v>15</v>
      </c>
    </row>
    <row r="43">
      <c r="A43" s="44" t="inlineStr">
        <is>
          <t>Bedroom</t>
        </is>
      </c>
      <c r="B43" s="39" t="n">
        <v>15</v>
      </c>
    </row>
    <row r="44">
      <c r="A44" s="44" t="inlineStr">
        <is>
          <t>Dining room</t>
        </is>
      </c>
      <c r="B44" s="39" t="n">
        <v>15</v>
      </c>
    </row>
    <row r="45">
      <c r="A45" s="44" t="inlineStr">
        <is>
          <t>Hallway / stairs</t>
        </is>
      </c>
      <c r="B45" s="39" t="n">
        <v>10</v>
      </c>
    </row>
    <row r="46">
      <c r="A46" s="44" t="inlineStr">
        <is>
          <t>Kitchen - general</t>
        </is>
      </c>
      <c r="B46" s="39" t="n">
        <v>40</v>
      </c>
    </row>
    <row r="47">
      <c r="A47" s="44" t="inlineStr">
        <is>
          <t>Kitchen - task counters</t>
        </is>
      </c>
      <c r="B47" s="39" t="n">
        <v>75</v>
      </c>
    </row>
    <row r="48">
      <c r="A48" s="44" t="inlineStr">
        <is>
          <t>Bathroom</t>
        </is>
      </c>
      <c r="B48" s="39" t="n">
        <v>60</v>
      </c>
    </row>
    <row r="49">
      <c r="A49" s="44" t="inlineStr">
        <is>
          <t>Home office</t>
        </is>
      </c>
      <c r="B49" s="39" t="n">
        <v>50</v>
      </c>
    </row>
    <row r="50">
      <c r="A50" s="44" t="inlineStr">
        <is>
          <t>Laundry room</t>
        </is>
      </c>
      <c r="B50" s="39" t="n">
        <v>50</v>
      </c>
    </row>
    <row r="51">
      <c r="A51" s="44" t="inlineStr">
        <is>
          <t>Workshop / garage</t>
        </is>
      </c>
      <c r="B51" s="39" t="n">
        <v>60</v>
      </c>
    </row>
    <row r="53">
      <c r="A53" s="14" t="inlineStr">
        <is>
          <t>Reference - standard standby generator sizes (kW)</t>
        </is>
      </c>
    </row>
    <row r="54">
      <c r="A54" s="14" t="inlineStr">
        <is>
          <t>Size (kW)</t>
        </is>
      </c>
    </row>
    <row r="55">
      <c r="A55" s="75" t="n">
        <v>5</v>
      </c>
    </row>
    <row r="56">
      <c r="A56" s="75" t="n">
        <v>7.5</v>
      </c>
    </row>
    <row r="57">
      <c r="A57" s="75" t="n">
        <v>10</v>
      </c>
    </row>
    <row r="58">
      <c r="A58" s="75" t="n">
        <v>12</v>
      </c>
    </row>
    <row r="59">
      <c r="A59" s="75" t="n">
        <v>14</v>
      </c>
    </row>
    <row r="60">
      <c r="A60" s="75" t="n">
        <v>16</v>
      </c>
    </row>
    <row r="61">
      <c r="A61" s="75" t="n">
        <v>18</v>
      </c>
    </row>
    <row r="62">
      <c r="A62" s="75" t="n">
        <v>20</v>
      </c>
    </row>
    <row r="63">
      <c r="A63" s="75" t="n">
        <v>22</v>
      </c>
    </row>
    <row r="64">
      <c r="A64" s="75" t="n">
        <v>24</v>
      </c>
    </row>
    <row r="65">
      <c r="A65" s="75" t="n">
        <v>26</v>
      </c>
    </row>
    <row r="66">
      <c r="A66" s="75" t="n">
        <v>30</v>
      </c>
    </row>
    <row r="67">
      <c r="A67" s="75" t="n">
        <v>38</v>
      </c>
    </row>
    <row r="68">
      <c r="A68" s="75" t="n">
        <v>48</v>
      </c>
    </row>
    <row r="69">
      <c r="A69" s="75" t="n">
        <v>60</v>
      </c>
    </row>
    <row r="71">
      <c r="A71" s="69" t="inlineStr">
        <is>
          <t>Sources: generator method per manufacturer sizing guides (Generac / Kohler / Cummins residential sizing publications). Footcandle targets per IES residential lighting recommendations. Fixture counts are planning numbers - final layouts still answer to the customer's eyes.</t>
        </is>
      </c>
    </row>
  </sheetData>
  <mergeCells count="7">
    <mergeCell ref="A38:F38"/>
    <mergeCell ref="A2:F2"/>
    <mergeCell ref="A71:F71"/>
    <mergeCell ref="A1:F1"/>
    <mergeCell ref="A22:F22"/>
    <mergeCell ref="A4:F4"/>
    <mergeCell ref="A20:F20"/>
  </mergeCells>
  <dataValidations count="1">
    <dataValidation sqref="B23" showDropDown="0" showInputMessage="0" showErrorMessage="0" allowBlank="0" type="list">
      <formula1>"Living room,Bedroom,Dining room,Hallway / stairs,Kitchen - general,Kitchen - task counters,Bathroom,Home office,Laundry room,Workshop / garage"</formula1>
    </dataValidation>
  </dataValidations>
  <pageMargins left="0.75" right="0.75" top="1" bottom="1" header="0.5" footer="0.5"/>
  <pageSetup orientation="portrait" fitToWidth="1"/>
  <headerFooter>
    <oddHeader>&amp;C&amp;11 Highway 38 Solutions</oddHeader>
    <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H46"/>
  <sheetViews>
    <sheetView workbookViewId="0">
      <selection activeCell="A1" sqref="A1"/>
    </sheetView>
  </sheetViews>
  <sheetFormatPr baseColWidth="8" defaultRowHeight="15"/>
  <cols>
    <col width="42" customWidth="1" min="1" max="1"/>
    <col width="18" customWidth="1" min="2" max="2"/>
    <col width="14" customWidth="1" min="3" max="3"/>
    <col width="14" customWidth="1" min="4" max="4"/>
    <col width="14" customWidth="1" min="5" max="5"/>
    <col width="14" customWidth="1" min="6" max="6"/>
    <col width="14" customWidth="1" min="7" max="7"/>
    <col width="14" customWidth="1" min="8" max="8"/>
  </cols>
  <sheetData>
    <row r="1" ht="24" customHeight="1">
      <c r="A1" s="56" t="inlineStr">
        <is>
          <t>CONDUIT FILL PLUS - EMT, IMC, RMC, PVC &amp; flex (NEC Chapter 9)</t>
        </is>
      </c>
    </row>
    <row r="2" ht="28" customHeight="1">
      <c r="A2" s="2" t="inlineStr">
        <is>
          <t>The conduit-fill calculator for every raceway in the yard - not just EMT. Same Chapter 9 rules as the Electrical sheet; the full area table for all seven types is below.</t>
        </is>
      </c>
    </row>
    <row r="4" ht="20" customHeight="1">
      <c r="A4" s="35" t="inlineStr">
        <is>
          <t>CONDUIT FILL - THHN / THWN-2 copper in any raceway type</t>
        </is>
      </c>
    </row>
    <row r="5">
      <c r="A5" s="9" t="inlineStr">
        <is>
          <t>Conduit type</t>
        </is>
      </c>
      <c r="B5" s="37" t="inlineStr">
        <is>
          <t>PVC Schedule 80</t>
        </is>
      </c>
    </row>
    <row r="6">
      <c r="A6" s="9" t="inlineStr">
        <is>
          <t>Trade size</t>
        </is>
      </c>
      <c r="B6" s="37" t="inlineStr">
        <is>
          <t>3/4″</t>
        </is>
      </c>
    </row>
    <row r="7">
      <c r="A7" s="9" t="inlineStr">
        <is>
          <t>Wire size (THHN)</t>
        </is>
      </c>
      <c r="B7" s="37" t="inlineStr">
        <is>
          <t>12 AWG</t>
        </is>
      </c>
    </row>
    <row r="8">
      <c r="A8" s="9" t="inlineStr">
        <is>
          <t>Number of wires (the ground counts)</t>
        </is>
      </c>
      <c r="B8" s="36" t="n">
        <v>4</v>
      </c>
    </row>
    <row r="9">
      <c r="A9" s="9" t="inlineStr">
        <is>
          <t>Wire count used (minimum 1, rounded)</t>
        </is>
      </c>
      <c r="B9" s="39">
        <f>MAX(1,ROUND(B8,0))</f>
        <v/>
      </c>
    </row>
    <row r="10">
      <c r="A10" s="9" t="inlineStr">
        <is>
          <t>Conduit inside area (sq in)</t>
        </is>
      </c>
      <c r="B10" s="80">
        <f>IFERROR(INDEX($B$20:$H$28,MATCH(B6,$A$20:$A$28,0),MATCH(B5,$B$19:$H$19,0)),"—")</f>
        <v/>
      </c>
    </row>
    <row r="11">
      <c r="A11" s="9" t="inlineStr">
        <is>
          <t>Wire area each (sq in)</t>
        </is>
      </c>
      <c r="B11" s="80">
        <f>IFERROR(VLOOKUP(B7,$A$32:$B$44,2,FALSE),"—")</f>
        <v/>
      </c>
    </row>
    <row r="12">
      <c r="A12" s="14" t="inlineStr">
        <is>
          <t>CONDUIT FILL</t>
        </is>
      </c>
      <c r="B12" s="41">
        <f>IF(ISNUMBER(B10),B11*B9/B10,"—")</f>
        <v/>
      </c>
    </row>
    <row r="13">
      <c r="A13" s="9" t="inlineStr">
        <is>
          <t>NEC limit for this wire count</t>
        </is>
      </c>
      <c r="B13" s="72">
        <f>IF(B9=1,0.53,IF(B9=2,0.31,0.4))</f>
        <v/>
      </c>
      <c r="C13" s="69" t="inlineStr">
        <is>
          <t>1 wire 53% - 2 wires 31% - 3 or more 40% (Chapter 9, Table 1).</t>
        </is>
      </c>
    </row>
    <row r="14">
      <c r="A14" s="9" t="inlineStr">
        <is>
          <t>Max wires of this size at the limit</t>
        </is>
      </c>
      <c r="B14" s="39">
        <f>IF(AND(ISNUMBER(B10),B11&gt;0),FLOOR(B10*B13/B11,1),"—")</f>
        <v/>
      </c>
    </row>
    <row r="15">
      <c r="A15" s="14">
        <f>IF(NOT(ISNUMBER(B10)),"That type and size is not in the table below - check NEC Chapter 9, Table 4.",IF(B12&lt;=B13,"Inside the NEC fill limit - a legal pull.","Over the limit for this wire count - upsize the conduit or split the run."))</f>
        <v/>
      </c>
    </row>
    <row r="16">
      <c r="A16" s="69" t="inlineStr">
        <is>
          <t>IMC areas in the table below run 1/2 in to 2 in. FMC is flexible metal conduit; LFMC is liquidtight flexible metal conduit. Legal and pullable are still different things - long runs with bends get miserable well before 40%.</t>
        </is>
      </c>
    </row>
    <row r="18">
      <c r="A18" s="14" t="inlineStr">
        <is>
          <t>Reference - conduit inside areas (sq in), NEC Chapter 9, Table 4</t>
        </is>
      </c>
    </row>
    <row r="19">
      <c r="A19" s="14" t="inlineStr">
        <is>
          <t>Trade size</t>
        </is>
      </c>
      <c r="B19" s="14" t="inlineStr">
        <is>
          <t>EMT</t>
        </is>
      </c>
      <c r="C19" s="14" t="inlineStr">
        <is>
          <t>IMC</t>
        </is>
      </c>
      <c r="D19" s="14" t="inlineStr">
        <is>
          <t>RMC</t>
        </is>
      </c>
      <c r="E19" s="14" t="inlineStr">
        <is>
          <t>PVC Schedule 40</t>
        </is>
      </c>
      <c r="F19" s="14" t="inlineStr">
        <is>
          <t>PVC Schedule 80</t>
        </is>
      </c>
      <c r="G19" s="14" t="inlineStr">
        <is>
          <t>FMC</t>
        </is>
      </c>
      <c r="H19" s="14" t="inlineStr">
        <is>
          <t>LFMC</t>
        </is>
      </c>
    </row>
    <row r="20">
      <c r="A20" s="44" t="inlineStr">
        <is>
          <t>1/2″</t>
        </is>
      </c>
      <c r="B20" s="49" t="n">
        <v>0.304</v>
      </c>
      <c r="C20" s="49" t="n">
        <v>0.342</v>
      </c>
      <c r="D20" s="49" t="n">
        <v>0.314</v>
      </c>
      <c r="E20" s="49" t="n">
        <v>0.285</v>
      </c>
      <c r="F20" s="49" t="n">
        <v>0.217</v>
      </c>
      <c r="G20" s="49" t="n">
        <v>0.317</v>
      </c>
      <c r="H20" s="49" t="n">
        <v>0.314</v>
      </c>
    </row>
    <row r="21">
      <c r="A21" s="44" t="inlineStr">
        <is>
          <t>3/4″</t>
        </is>
      </c>
      <c r="B21" s="49" t="n">
        <v>0.533</v>
      </c>
      <c r="C21" s="49" t="n">
        <v>0.586</v>
      </c>
      <c r="D21" s="49" t="n">
        <v>0.549</v>
      </c>
      <c r="E21" s="49" t="n">
        <v>0.508</v>
      </c>
      <c r="F21" s="49" t="n">
        <v>0.409</v>
      </c>
      <c r="G21" s="49" t="n">
        <v>0.533</v>
      </c>
      <c r="H21" s="49" t="n">
        <v>0.541</v>
      </c>
    </row>
    <row r="22">
      <c r="A22" s="44" t="inlineStr">
        <is>
          <t>1″</t>
        </is>
      </c>
      <c r="B22" s="49" t="n">
        <v>0.864</v>
      </c>
      <c r="C22" s="49" t="n">
        <v>0.959</v>
      </c>
      <c r="D22" s="49" t="n">
        <v>0.887</v>
      </c>
      <c r="E22" s="49" t="n">
        <v>0.832</v>
      </c>
      <c r="F22" s="49" t="n">
        <v>0.6879999999999999</v>
      </c>
      <c r="G22" s="49" t="n">
        <v>0.8169999999999999</v>
      </c>
      <c r="H22" s="49" t="n">
        <v>0.873</v>
      </c>
    </row>
    <row r="23">
      <c r="A23" s="44" t="inlineStr">
        <is>
          <t>1-1/4″</t>
        </is>
      </c>
      <c r="B23" s="49" t="n">
        <v>1.496</v>
      </c>
      <c r="C23" s="49" t="n">
        <v>1.61</v>
      </c>
      <c r="D23" s="49" t="n">
        <v>1.526</v>
      </c>
      <c r="E23" s="49" t="n">
        <v>1.453</v>
      </c>
      <c r="F23" s="49" t="n">
        <v>1.237</v>
      </c>
      <c r="G23" s="49" t="n">
        <v>1.277</v>
      </c>
      <c r="H23" s="49" t="n">
        <v>1.528</v>
      </c>
    </row>
    <row r="24">
      <c r="A24" s="44" t="inlineStr">
        <is>
          <t>1-1/2″</t>
        </is>
      </c>
      <c r="B24" s="49" t="n">
        <v>2.036</v>
      </c>
      <c r="C24" s="49" t="n">
        <v>2.225</v>
      </c>
      <c r="D24" s="49" t="n">
        <v>2.071</v>
      </c>
      <c r="E24" s="49" t="n">
        <v>1.986</v>
      </c>
      <c r="F24" s="49" t="n">
        <v>1.711</v>
      </c>
      <c r="G24" s="49" t="n">
        <v>1.858</v>
      </c>
      <c r="H24" s="49" t="n">
        <v>1.981</v>
      </c>
    </row>
    <row r="25">
      <c r="A25" s="44" t="inlineStr">
        <is>
          <t>2″</t>
        </is>
      </c>
      <c r="B25" s="49" t="n">
        <v>3.356</v>
      </c>
      <c r="C25" s="49" t="n">
        <v>3.63</v>
      </c>
      <c r="D25" s="49" t="n">
        <v>3.408</v>
      </c>
      <c r="E25" s="49" t="n">
        <v>3.291</v>
      </c>
      <c r="F25" s="49" t="n">
        <v>2.874</v>
      </c>
      <c r="G25" s="49" t="n">
        <v>3.269</v>
      </c>
      <c r="H25" s="49" t="n">
        <v>3.246</v>
      </c>
    </row>
    <row r="26">
      <c r="A26" s="44" t="inlineStr">
        <is>
          <t>2-1/2″</t>
        </is>
      </c>
      <c r="B26" s="49" t="n">
        <v>5.858</v>
      </c>
      <c r="C26" s="49" t="inlineStr">
        <is>
          <t>—</t>
        </is>
      </c>
      <c r="D26" s="49" t="n">
        <v>4.866</v>
      </c>
      <c r="E26" s="49" t="n">
        <v>4.695</v>
      </c>
      <c r="F26" s="49" t="n">
        <v>4.119</v>
      </c>
      <c r="G26" s="49" t="n">
        <v>4.909</v>
      </c>
      <c r="H26" s="49" t="n">
        <v>4.881</v>
      </c>
    </row>
    <row r="27">
      <c r="A27" s="44" t="inlineStr">
        <is>
          <t>3″</t>
        </is>
      </c>
      <c r="B27" s="49" t="n">
        <v>8.846</v>
      </c>
      <c r="C27" s="49" t="inlineStr">
        <is>
          <t>—</t>
        </is>
      </c>
      <c r="D27" s="49" t="n">
        <v>7.499</v>
      </c>
      <c r="E27" s="49" t="n">
        <v>7.268</v>
      </c>
      <c r="F27" s="49" t="n">
        <v>6.647</v>
      </c>
      <c r="G27" s="49" t="n">
        <v>7.069</v>
      </c>
      <c r="H27" s="49" t="n">
        <v>7.475</v>
      </c>
    </row>
    <row r="28">
      <c r="A28" s="44" t="inlineStr">
        <is>
          <t>4″</t>
        </is>
      </c>
      <c r="B28" s="49" t="n">
        <v>14.753</v>
      </c>
      <c r="C28" s="49" t="inlineStr">
        <is>
          <t>—</t>
        </is>
      </c>
      <c r="D28" s="49" t="n">
        <v>13.135</v>
      </c>
      <c r="E28" s="49" t="n">
        <v>12.554</v>
      </c>
      <c r="F28" s="49" t="n">
        <v>11.258</v>
      </c>
      <c r="G28" s="49" t="n">
        <v>12.566</v>
      </c>
      <c r="H28" s="49" t="n">
        <v>12.692</v>
      </c>
    </row>
    <row r="30">
      <c r="A30" s="14" t="inlineStr">
        <is>
          <t>Reference - THHN / THWN-2 wire areas (sq in), NEC Chapter 9, Table 5</t>
        </is>
      </c>
    </row>
    <row r="31">
      <c r="A31" s="14" t="inlineStr">
        <is>
          <t>Wire size</t>
        </is>
      </c>
      <c r="B31" s="14" t="inlineStr">
        <is>
          <t>Area (sq in)</t>
        </is>
      </c>
    </row>
    <row r="32">
      <c r="A32" s="44" t="inlineStr">
        <is>
          <t>14 AWG</t>
        </is>
      </c>
      <c r="B32" s="49" t="n">
        <v>0.0097</v>
      </c>
    </row>
    <row r="33">
      <c r="A33" s="44" t="inlineStr">
        <is>
          <t>12 AWG</t>
        </is>
      </c>
      <c r="B33" s="49" t="n">
        <v>0.0133</v>
      </c>
    </row>
    <row r="34">
      <c r="A34" s="44" t="inlineStr">
        <is>
          <t>10 AWG</t>
        </is>
      </c>
      <c r="B34" s="49" t="n">
        <v>0.0211</v>
      </c>
    </row>
    <row r="35">
      <c r="A35" s="44" t="inlineStr">
        <is>
          <t>8 AWG</t>
        </is>
      </c>
      <c r="B35" s="49" t="n">
        <v>0.0366</v>
      </c>
    </row>
    <row r="36">
      <c r="A36" s="44" t="inlineStr">
        <is>
          <t>6 AWG</t>
        </is>
      </c>
      <c r="B36" s="49" t="n">
        <v>0.0507</v>
      </c>
    </row>
    <row r="37">
      <c r="A37" s="44" t="inlineStr">
        <is>
          <t>4 AWG</t>
        </is>
      </c>
      <c r="B37" s="49" t="n">
        <v>0.0824</v>
      </c>
    </row>
    <row r="38">
      <c r="A38" s="44" t="inlineStr">
        <is>
          <t>3 AWG</t>
        </is>
      </c>
      <c r="B38" s="49" t="n">
        <v>0.0973</v>
      </c>
    </row>
    <row r="39">
      <c r="A39" s="44" t="inlineStr">
        <is>
          <t>2 AWG</t>
        </is>
      </c>
      <c r="B39" s="49" t="n">
        <v>0.1158</v>
      </c>
    </row>
    <row r="40">
      <c r="A40" s="44" t="inlineStr">
        <is>
          <t>1 AWG</t>
        </is>
      </c>
      <c r="B40" s="49" t="n">
        <v>0.1562</v>
      </c>
    </row>
    <row r="41">
      <c r="A41" s="44" t="inlineStr">
        <is>
          <t>1/0 AWG</t>
        </is>
      </c>
      <c r="B41" s="49" t="n">
        <v>0.1855</v>
      </c>
    </row>
    <row r="42">
      <c r="A42" s="44" t="inlineStr">
        <is>
          <t>2/0 AWG</t>
        </is>
      </c>
      <c r="B42" s="49" t="n">
        <v>0.2223</v>
      </c>
    </row>
    <row r="43">
      <c r="A43" s="44" t="inlineStr">
        <is>
          <t>3/0 AWG</t>
        </is>
      </c>
      <c r="B43" s="49" t="n">
        <v>0.2679</v>
      </c>
    </row>
    <row r="44">
      <c r="A44" s="44" t="inlineStr">
        <is>
          <t>4/0 AWG</t>
        </is>
      </c>
      <c r="B44" s="49" t="n">
        <v>0.3237</v>
      </c>
    </row>
    <row r="46">
      <c r="A46" s="69" t="inlineStr">
        <is>
          <t>Areas: NEC Chapter 9, Table 4 (total internal area). Wire areas: Chapter 9, Table 5. Fill limits: Chapter 9, Table 1. Nipples 24 in and shorter may go to 60% (Chapter 9, Note 4) - this calculator uses the running-length limits.</t>
        </is>
      </c>
    </row>
  </sheetData>
  <mergeCells count="6">
    <mergeCell ref="A4:H4"/>
    <mergeCell ref="A15:H15"/>
    <mergeCell ref="A16:H16"/>
    <mergeCell ref="A2:H2"/>
    <mergeCell ref="A1:H1"/>
    <mergeCell ref="A46:H46"/>
  </mergeCells>
  <dataValidations count="3">
    <dataValidation sqref="B5" showDropDown="0" showInputMessage="0" showErrorMessage="0" allowBlank="0" type="list">
      <formula1>"EMT,IMC,RMC,PVC Schedule 40,PVC Schedule 80,FMC,LFMC"</formula1>
    </dataValidation>
    <dataValidation sqref="B6" showDropDown="0" showInputMessage="0" showErrorMessage="0" allowBlank="0" type="list">
      <formula1>"1/2″,3/4″,1″,1-1/4″,1-1/2″,2″,2-1/2″,3″,4″"</formula1>
    </dataValidation>
    <dataValidation sqref="B7" showDropDown="0" showInputMessage="0" showErrorMessage="0" allowBlank="0" type="list">
      <formula1>"14 AWG,12 AWG,10 AWG,8 AWG,6 AWG,4 AWG,3 AWG,2 AWG,1 AWG,1/0 AWG,2/0 AWG,3/0 AWG,4/0 AWG"</formula1>
    </dataValidation>
  </dataValidations>
  <pageMargins left="0.75" right="0.75" top="1" bottom="1" header="0.5" footer="0.5"/>
  <pageSetup orientation="portrait" fitToWidth="1"/>
  <headerFooter>
    <oddHeader>&amp;C&amp;11 Highway 38 Solutions</oddHeader>
    <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E42"/>
  <sheetViews>
    <sheetView workbookViewId="0">
      <selection activeCell="A1" sqref="A1"/>
    </sheetView>
  </sheetViews>
  <sheetFormatPr baseColWidth="8" defaultRowHeight="15"/>
  <cols>
    <col width="44" customWidth="1" min="1" max="1"/>
    <col width="10" customWidth="1" min="2" max="2"/>
    <col width="13" customWidth="1" min="3" max="3"/>
    <col width="16" customWidth="1" min="4" max="4"/>
    <col width="32" customWidth="1" min="5" max="5"/>
  </cols>
  <sheetData>
    <row r="1" ht="24" customHeight="1">
      <c r="A1" s="6" t="inlineStr">
        <is>
          <t>ELECTRICAL QUOTE - Job bid worksheet</t>
        </is>
      </c>
    </row>
    <row r="2">
      <c r="A2" s="7" t="inlineStr">
        <is>
          <t>Same math as the Job Bid Pricer on the Standard sheet - labor, materials with markup, and other costs, then overhead, then profit - laid out on the lines this trade actually writes up. Example lines are prefilled; replace quantities, hours and costs with the real job.</t>
        </is>
      </c>
    </row>
    <row r="4">
      <c r="A4" s="14" t="inlineStr">
        <is>
          <t>Customer name:</t>
        </is>
      </c>
      <c r="B4" s="23" t="n"/>
      <c r="C4" s="53" t="n"/>
      <c r="D4" s="53" t="n"/>
      <c r="E4" s="54" t="n"/>
    </row>
    <row r="5">
      <c r="A5" s="14" t="inlineStr">
        <is>
          <t>Job / address:</t>
        </is>
      </c>
      <c r="B5" s="23" t="n"/>
      <c r="C5" s="53" t="n"/>
      <c r="D5" s="53" t="n"/>
      <c r="E5" s="54" t="n"/>
    </row>
    <row r="6">
      <c r="A6" s="14" t="inlineStr">
        <is>
          <t>Date:</t>
        </is>
      </c>
      <c r="B6" s="23" t="n"/>
      <c r="C6" s="53" t="n"/>
      <c r="D6" s="53" t="n"/>
      <c r="E6" s="54" t="n"/>
    </row>
    <row r="7">
      <c r="A7" s="14" t="inlineStr">
        <is>
          <t>Quote #:</t>
        </is>
      </c>
      <c r="B7" s="23" t="n"/>
      <c r="C7" s="53" t="n"/>
      <c r="D7" s="53" t="n"/>
      <c r="E7" s="54" t="n"/>
    </row>
    <row r="8">
      <c r="A8" s="14" t="inlineStr">
        <is>
          <t>Labor cost per hour ($, wage + burden)</t>
        </is>
      </c>
      <c r="B8" s="11" t="n">
        <v>65</v>
      </c>
    </row>
    <row r="10">
      <c r="A10" s="34" t="inlineStr">
        <is>
          <t>LABOR - work lines</t>
        </is>
      </c>
      <c r="B10" s="34" t="inlineStr">
        <is>
          <t>Qty</t>
        </is>
      </c>
      <c r="C10" s="34" t="inlineStr">
        <is>
          <t>Hrs each</t>
        </is>
      </c>
      <c r="D10" s="34" t="inlineStr">
        <is>
          <t>Labor ($)</t>
        </is>
      </c>
      <c r="E10" s="34" t="inlineStr">
        <is>
          <t>Notes</t>
        </is>
      </c>
    </row>
    <row r="11">
      <c r="A11" s="30" t="inlineStr">
        <is>
          <t>Outlet or switch replacement</t>
        </is>
      </c>
      <c r="B11" s="18" t="n">
        <v>2</v>
      </c>
      <c r="C11" s="27" t="n">
        <v>0.5</v>
      </c>
      <c r="D11" s="13">
        <f>B11*C11*$B$8</f>
        <v/>
      </c>
      <c r="E11" s="24" t="inlineStr"/>
    </row>
    <row r="12">
      <c r="A12" s="30" t="inlineStr">
        <is>
          <t>GFCI outlet install</t>
        </is>
      </c>
      <c r="B12" s="18" t="n">
        <v>1</v>
      </c>
      <c r="C12" s="27" t="n">
        <v>0.75</v>
      </c>
      <c r="D12" s="13">
        <f>B12*C12*$B$8</f>
        <v/>
      </c>
      <c r="E12" s="24" t="inlineStr"/>
    </row>
    <row r="13">
      <c r="A13" s="30" t="inlineStr">
        <is>
          <t>Breaker replacement</t>
        </is>
      </c>
      <c r="B13" s="18" t="n">
        <v>1</v>
      </c>
      <c r="C13" s="27" t="n">
        <v>0.5</v>
      </c>
      <c r="D13" s="13">
        <f>B13*C13*$B$8</f>
        <v/>
      </c>
      <c r="E13" s="24" t="inlineStr"/>
    </row>
    <row r="14">
      <c r="A14" s="30" t="inlineStr">
        <is>
          <t>Ceiling fan install</t>
        </is>
      </c>
      <c r="B14" s="18" t="n">
        <v>1</v>
      </c>
      <c r="C14" s="27" t="n">
        <v>1.5</v>
      </c>
      <c r="D14" s="13">
        <f>B14*C14*$B$8</f>
        <v/>
      </c>
      <c r="E14" s="24" t="inlineStr"/>
    </row>
    <row r="15">
      <c r="A15" s="30" t="inlineStr">
        <is>
          <t>Recessed light install (each)</t>
        </is>
      </c>
      <c r="B15" s="18" t="n">
        <v>4</v>
      </c>
      <c r="C15" s="27" t="n">
        <v>0.75</v>
      </c>
      <c r="D15" s="13">
        <f>B15*C15*$B$8</f>
        <v/>
      </c>
      <c r="E15" s="24" t="inlineStr"/>
    </row>
    <row r="16">
      <c r="A16" s="30" t="inlineStr">
        <is>
          <t>Panel upgrade - 200A service</t>
        </is>
      </c>
      <c r="B16" s="18" t="n">
        <v>0</v>
      </c>
      <c r="C16" s="27" t="n">
        <v>6</v>
      </c>
      <c r="D16" s="13">
        <f>B16*C16*$B$8</f>
        <v/>
      </c>
      <c r="E16" s="24" t="inlineStr">
        <is>
          <t>Qty 0 - set it when the job needs it</t>
        </is>
      </c>
    </row>
    <row r="17">
      <c r="A17" s="30" t="inlineStr">
        <is>
          <t>Troubleshooting / extra time (per hour)</t>
        </is>
      </c>
      <c r="B17" s="18" t="n">
        <v>0</v>
      </c>
      <c r="C17" s="27" t="n">
        <v>1</v>
      </c>
      <c r="D17" s="13">
        <f>B17*C17*$B$8</f>
        <v/>
      </c>
      <c r="E17" s="24" t="inlineStr"/>
    </row>
    <row r="18">
      <c r="A18" s="14" t="inlineStr">
        <is>
          <t>Labor subtotal</t>
        </is>
      </c>
      <c r="C18" s="22">
        <f>SUMPRODUCT($B$11:$B$17,$C$11:$C$17)</f>
        <v/>
      </c>
      <c r="D18" s="15">
        <f>SUM($D$11:$D$17)</f>
        <v/>
      </c>
    </row>
    <row r="20">
      <c r="A20" s="34" t="inlineStr">
        <is>
          <t>MATERIALS</t>
        </is>
      </c>
      <c r="B20" s="34" t="inlineStr">
        <is>
          <t>Qty</t>
        </is>
      </c>
      <c r="C20" s="34" t="inlineStr">
        <is>
          <t>Cost each ($)</t>
        </is>
      </c>
      <c r="D20" s="34" t="inlineStr">
        <is>
          <t>Line cost ($)</t>
        </is>
      </c>
      <c r="E20" s="34" t="inlineStr">
        <is>
          <t>Notes</t>
        </is>
      </c>
    </row>
    <row r="21">
      <c r="A21" s="30" t="inlineStr">
        <is>
          <t>Outlets / switches</t>
        </is>
      </c>
      <c r="B21" s="18" t="n">
        <v>3</v>
      </c>
      <c r="C21" s="11" t="n">
        <v>8</v>
      </c>
      <c r="D21" s="13">
        <f>B21*C21</f>
        <v/>
      </c>
      <c r="E21" s="24" t="inlineStr"/>
    </row>
    <row r="22">
      <c r="A22" s="30" t="inlineStr">
        <is>
          <t>GFCI outlet</t>
        </is>
      </c>
      <c r="B22" s="18" t="n">
        <v>1</v>
      </c>
      <c r="C22" s="11" t="n">
        <v>28</v>
      </c>
      <c r="D22" s="13">
        <f>B22*C22</f>
        <v/>
      </c>
      <c r="E22" s="24" t="inlineStr"/>
    </row>
    <row r="23">
      <c r="A23" s="30" t="inlineStr">
        <is>
          <t>Breaker</t>
        </is>
      </c>
      <c r="B23" s="18" t="n">
        <v>1</v>
      </c>
      <c r="C23" s="11" t="n">
        <v>18</v>
      </c>
      <c r="D23" s="13">
        <f>B23*C23</f>
        <v/>
      </c>
      <c r="E23" s="24" t="inlineStr"/>
    </row>
    <row r="24">
      <c r="A24" s="30" t="inlineStr">
        <is>
          <t>Fan-rated box &amp; brace</t>
        </is>
      </c>
      <c r="B24" s="18" t="n">
        <v>1</v>
      </c>
      <c r="C24" s="11" t="n">
        <v>24</v>
      </c>
      <c r="D24" s="13">
        <f>B24*C24</f>
        <v/>
      </c>
      <c r="E24" s="24" t="inlineStr"/>
    </row>
    <row r="25">
      <c r="A25" s="30" t="inlineStr">
        <is>
          <t>Wire, connectors &amp; misc</t>
        </is>
      </c>
      <c r="B25" s="18" t="n">
        <v>1</v>
      </c>
      <c r="C25" s="11" t="n">
        <v>45</v>
      </c>
      <c r="D25" s="13">
        <f>B25*C25</f>
        <v/>
      </c>
      <c r="E25" s="24" t="inlineStr"/>
    </row>
    <row r="26">
      <c r="A26" s="14" t="inlineStr">
        <is>
          <t>Materials subtotal</t>
        </is>
      </c>
      <c r="D26" s="15">
        <f>SUM($D$21:$D$25)</f>
        <v/>
      </c>
    </row>
    <row r="27">
      <c r="A27" s="9" t="inlineStr">
        <is>
          <t>Materials markup</t>
        </is>
      </c>
      <c r="B27" s="12" t="n">
        <v>0.2</v>
      </c>
    </row>
    <row r="28">
      <c r="A28" s="9" t="inlineStr">
        <is>
          <t>Materials (with markup)</t>
        </is>
      </c>
      <c r="D28" s="13">
        <f>D26*(1+B27)</f>
        <v/>
      </c>
    </row>
    <row r="30" ht="20" customHeight="1">
      <c r="A30" s="8" t="inlineStr">
        <is>
          <t>BID ROLLUP - the Job Bid Pricer math</t>
        </is>
      </c>
    </row>
    <row r="31">
      <c r="A31" s="9" t="inlineStr">
        <is>
          <t>Service call / diagnostic (flat $)</t>
        </is>
      </c>
      <c r="B31" s="11" t="n">
        <v>89</v>
      </c>
    </row>
    <row r="32">
      <c r="A32" s="9" t="inlineStr">
        <is>
          <t>Subs, rentals &amp; permits ($)</t>
        </is>
      </c>
      <c r="B32" s="11" t="n">
        <v>0</v>
      </c>
    </row>
    <row r="33">
      <c r="A33" s="9" t="inlineStr">
        <is>
          <t>Direct costs (labor + materials + service + subs)</t>
        </is>
      </c>
      <c r="B33" s="13">
        <f>D18+D28+B31+B32</f>
        <v/>
      </c>
    </row>
    <row r="34">
      <c r="A34" s="9" t="inlineStr">
        <is>
          <t>Overhead on the job</t>
        </is>
      </c>
      <c r="B34" s="12" t="n">
        <v>0.1</v>
      </c>
    </row>
    <row r="35">
      <c r="A35" s="9" t="inlineStr">
        <is>
          <t>Overhead amount</t>
        </is>
      </c>
      <c r="B35" s="13">
        <f>B33*B34</f>
        <v/>
      </c>
    </row>
    <row r="36">
      <c r="A36" s="9" t="inlineStr">
        <is>
          <t>Profit markup</t>
        </is>
      </c>
      <c r="B36" s="12" t="n">
        <v>0.15</v>
      </c>
    </row>
    <row r="37">
      <c r="A37" s="9" t="inlineStr">
        <is>
          <t>Profit amount</t>
        </is>
      </c>
      <c r="B37" s="13">
        <f>(B33+B35)*B36</f>
        <v/>
      </c>
    </row>
    <row r="38">
      <c r="A38" s="14" t="inlineStr">
        <is>
          <t>BID TOTAL</t>
        </is>
      </c>
      <c r="B38" s="15">
        <f>B33+B35+B37</f>
        <v/>
      </c>
    </row>
    <row r="39">
      <c r="A39" s="9" t="inlineStr">
        <is>
          <t>Gross margin on the bid</t>
        </is>
      </c>
      <c r="B39" s="16">
        <f>IF(B38&gt;0,B37/B38,0)</f>
        <v/>
      </c>
    </row>
    <row r="41">
      <c r="A41" s="17" t="inlineStr">
        <is>
          <t>Quote is valid for 30 days unless you write otherwise here. Lines with qty 0 are common add-ons for this trade - set the qty when the job needs them. Cross-check any quote against the Job Bid Pricer on the Standard sheet: same total hours, rate, materials and percents must give the same bid.</t>
        </is>
      </c>
    </row>
    <row r="42"/>
  </sheetData>
  <mergeCells count="8">
    <mergeCell ref="A30:E30"/>
    <mergeCell ref="B4:E4"/>
    <mergeCell ref="A2:E2"/>
    <mergeCell ref="B6:E6"/>
    <mergeCell ref="A41:E42"/>
    <mergeCell ref="B7:E7"/>
    <mergeCell ref="A1:E1"/>
    <mergeCell ref="B5:E5"/>
  </mergeCells>
  <printOptions horizontalCentered="1"/>
  <pageMargins left="0.75" right="0.75" top="1" bottom="1" header="0.5" footer="0.5"/>
  <pageSetup orientation="landscape" fitToWidth="1"/>
  <headerFooter>
    <oddHeader>&amp;C&amp;11 Highway 38 Solutions</oddHeader>
    <oddFooter/>
    <evenHeader>&amp;C&amp;11 Highway 38 Solutions</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Highway 38 Solutions</dc:creator>
  <dc:title xmlns:dc="http://purl.org/dc/elements/1.1/">H38 Contractor Calc - Highway 38 Solutions</dc:title>
  <dcterms:created xmlns:dcterms="http://purl.org/dc/terms/" xmlns:xsi="http://www.w3.org/2001/XMLSchema-instance" xsi:type="dcterms:W3CDTF">2026-10-25T21:36:25Z</dcterms:created>
  <dcterms:modified xmlns:dcterms="http://purl.org/dc/terms/" xmlns:xsi="http://www.w3.org/2001/XMLSchema-instance" xsi:type="dcterms:W3CDTF">2026-10-28T03:13:38+00:00Z</dcterms:modified>
</cp:coreProperties>
</file>