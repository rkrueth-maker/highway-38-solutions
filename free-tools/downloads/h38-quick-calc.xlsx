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peeds &amp; Feeds" sheetId="2" state="visible" r:id="rId2"/>
    <sheet xmlns:r="http://schemas.openxmlformats.org/officeDocument/2006/relationships" name="Threading" sheetId="3" state="visible" r:id="rId3"/>
    <sheet xmlns:r="http://schemas.openxmlformats.org/officeDocument/2006/relationships" name="Drill &amp; Tap" sheetId="4" state="visible" r:id="rId4"/>
    <sheet xmlns:r="http://schemas.openxmlformats.org/officeDocument/2006/relationships" name="Drill Chart" sheetId="5" state="visible" r:id="rId5"/>
    <sheet xmlns:r="http://schemas.openxmlformats.org/officeDocument/2006/relationships" name="Weights &amp; Yields" sheetId="6" state="visible" r:id="rId6"/>
    <sheet xmlns:r="http://schemas.openxmlformats.org/officeDocument/2006/relationships" name="Chip Thinning" sheetId="7" state="visible" r:id="rId7"/>
    <sheet xmlns:r="http://schemas.openxmlformats.org/officeDocument/2006/relationships" name="Ball Nose &amp; Scallop" sheetId="8" state="visible" r:id="rId8"/>
    <sheet xmlns:r="http://schemas.openxmlformats.org/officeDocument/2006/relationships" name="Geometry" sheetId="9" state="visible" r:id="rId9"/>
    <sheet xmlns:r="http://schemas.openxmlformats.org/officeDocument/2006/relationships" name="Press Force" sheetId="10" state="visible" r:id="rId10"/>
    <sheet xmlns:r="http://schemas.openxmlformats.org/officeDocument/2006/relationships" name="Welding" sheetId="11" state="visible" r:id="rId11"/>
    <sheet xmlns:r="http://schemas.openxmlformats.org/officeDocument/2006/relationships" name="Convert" sheetId="12" state="visible" r:id="rId12"/>
    <sheet xmlns:r="http://schemas.openxmlformats.org/officeDocument/2006/relationships" name="Reference" sheetId="13" state="visible" r:id="rId13"/>
    <sheet xmlns:r="http://schemas.openxmlformats.org/officeDocument/2006/relationships" name="Gears &amp; F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0.000000"/>
    <numFmt numFmtId="167" formatCode="0.0"/>
    <numFmt numFmtId="168" formatCode="0.0000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B2A4E"/>
      </patternFill>
    </fill>
    <fill>
      <patternFill patternType="solid">
        <fgColor rgb="00C9A86A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pivotButton="0" quotePrefix="0" xfId="0"/>
    <xf numFmtId="1" fontId="0" fillId="4" borderId="0" pivotButton="0" quotePrefix="0" xfId="0"/>
    <xf numFmtId="164" fontId="0" fillId="4" borderId="0" pivotButton="0" quotePrefix="0" xfId="0"/>
    <xf numFmtId="1" fontId="3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4" borderId="0" pivotButton="0" quotePrefix="0" xfId="0"/>
    <xf numFmtId="166" fontId="0" fillId="0" borderId="0" pivotButton="0" quotePrefix="0" xfId="0"/>
    <xf numFmtId="167" fontId="3" fillId="0" borderId="0" pivotButton="0" quotePrefix="0" xfId="0"/>
    <xf numFmtId="167" fontId="0" fillId="0" borderId="0" pivotButton="0" quotePrefix="0" xfId="0"/>
    <xf numFmtId="167" fontId="0" fillId="4" borderId="0" pivotButton="0" quotePrefix="0" xfId="0"/>
    <xf numFmtId="165" fontId="0" fillId="4" borderId="0" pivotButton="0" quotePrefix="0" xfId="0"/>
    <xf numFmtId="1" fontId="0" fillId="0" borderId="0" pivotButton="0" quotePrefix="0" xfId="0"/>
    <xf numFmtId="0" fontId="5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8" fontId="0" fillId="0" borderId="0" pivotButton="0" quotePrefix="0" xfId="0"/>
    <xf numFmtId="168" fontId="0" fillId="4" borderId="0" pivotButton="0" quotePrefix="0" xfId="0"/>
    <xf numFmtId="0" fontId="0" fillId="4" borderId="0" pivotButton="0" quotePrefix="0" xfId="0"/>
    <xf numFmtId="2" fontId="3" fillId="0" borderId="0" pivotButton="0" quotePrefix="0" xfId="0"/>
    <xf numFmtId="166" fontId="0" fillId="4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5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5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5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5</col>
      <colOff>0</colOff>
      <row>0</row>
      <rowOff>0</rowOff>
    </from>
    <ext cx="6858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4"/>
  <sheetViews>
    <sheetView workbookViewId="0">
      <selection activeCell="A1" sqref="A1"/>
    </sheetView>
  </sheetViews>
  <sheetFormatPr baseColWidth="8" defaultRowHeight="15"/>
  <cols>
    <col width="20" customWidth="1" min="1" max="1"/>
    <col width="105" customWidth="1" min="2" max="2"/>
  </cols>
  <sheetData>
    <row r="1" ht="45" customHeight="1"/>
    <row r="2" ht="45" customHeight="1"/>
    <row r="3" ht="45" customHeight="1"/>
    <row r="4" ht="45" customHeight="1"/>
    <row r="5" ht="45" customHeight="1"/>
    <row r="7">
      <c r="A7" s="1" t="inlineStr">
        <is>
          <t>H38 QUICK CALC</t>
        </is>
      </c>
    </row>
    <row r="8">
      <c r="A8" s="2" t="inlineStr">
        <is>
          <t>By Highway 38 Solutions — the machinist calculators from the free H38 Quick Calc app, as a workbook you keep.</t>
        </is>
      </c>
    </row>
    <row r="10" ht="42" customHeight="1">
      <c r="A10" s="3" t="inlineStr">
        <is>
          <t>What this is</t>
        </is>
      </c>
      <c r="B10" s="4" t="inlineStr">
        <is>
          <t>The same calculators as the free H38 Quick Calc app (the Machinist Calc), in Excel form: speeds &amp; feeds, threading, tap drills and thread data, weights and job yields, chip thinning, ball nose, geometry, press force, conversions and hardness — plus the drill chart and reference tables.</t>
        </is>
      </c>
    </row>
    <row r="11" ht="42" customHeight="1">
      <c r="A11" s="3" t="inlineStr">
        <is>
          <t>How to use</t>
        </is>
      </c>
      <c r="B11" s="4" t="inlineStr">
        <is>
          <t>Yellow cells are the ones you type in. White cells are live formulas — don’t type over them, or that calculation stops working. Every calculator opens with the same example numbers as the app, so the two match side by side.</t>
        </is>
      </c>
    </row>
    <row r="12" ht="42" customHeight="1">
      <c r="A12" s="3" t="inlineStr">
        <is>
          <t>Standards</t>
        </is>
      </c>
      <c r="B12" s="4" t="inlineStr">
        <is>
          <t>This book uses textbook standards, same as the app (Rick’s ruling, 2026-10-22): 60° thread depths per ASME B1.1 (0.6134×P external / 0.54127×P internal), Stub Acme depth 0.3×P per ASME B1.8, hardness per ASTM E140 Table 1, tool-life speed adjustment by Taylor’s equation (n = 0.25 carbide), steel density 0.284 lb/in³, plate factor 3.40. Where the old shop workbook used rounded chart factors, the published standard governs here.</t>
        </is>
      </c>
    </row>
    <row r="13" ht="42" customHeight="1">
      <c r="A13" s="3" t="inlineStr">
        <is>
          <t>Estimates only</t>
        </is>
      </c>
      <c r="B13" s="4" t="inlineStr">
        <is>
          <t>A machining reference tool — verify critical cuts, thread fits and press tonnages before you run them. Conversions per ASTM E140 are approximate, as the standard itself states.</t>
        </is>
      </c>
    </row>
    <row r="14" ht="42" customHeight="1">
      <c r="A14" s="3" t="inlineStr">
        <is>
          <t>Sheets</t>
        </is>
      </c>
      <c r="B14" s="4" t="inlineStr">
        <is>
          <t>Speeds &amp; Feeds · Threading · Drill &amp; Tap · Drill Chart · Weights &amp; Yields · Chip Thinning · Ball Nose &amp; Scallop · Geometry · Press Force · Welding · Convert · Reference · Gears &amp; Fits</t>
        </is>
      </c>
    </row>
  </sheetData>
  <pageMargins left="0.75" right="0.75" top="1" bottom="1" header="0.5" footer="0.5"/>
  <headerFooter>
    <oddHeader>&amp;C&amp;9 H38 Quick Calc — Highway 38 Solutions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30" customWidth="1" min="3" max="3"/>
  </cols>
  <sheetData>
    <row r="1">
      <c r="A1" s="1" t="inlineStr">
        <is>
          <t>SPEEDS &amp; FEEDS</t>
        </is>
      </c>
    </row>
    <row r="2">
      <c r="A2" s="2" t="inlineStr">
        <is>
          <t>H38 Quick Calc · Highway 38 Solutions — mill and lathe speeds, feeds, finish and tool life.</t>
        </is>
      </c>
    </row>
    <row r="4">
      <c r="A4" s="5" t="inlineStr">
        <is>
          <t>1 — MILL</t>
        </is>
      </c>
    </row>
    <row r="5">
      <c r="A5" t="inlineStr">
        <is>
          <t>Surface speed (SFM)</t>
        </is>
      </c>
      <c r="B5" s="6" t="n">
        <v>400</v>
      </c>
    </row>
    <row r="6">
      <c r="A6" t="inlineStr">
        <is>
          <t>Tool diameter (in)</t>
        </is>
      </c>
      <c r="B6" s="7" t="n">
        <v>0.5</v>
      </c>
    </row>
    <row r="7">
      <c r="A7" t="inlineStr">
        <is>
          <t>Teeth / flutes</t>
        </is>
      </c>
      <c r="B7" s="6" t="n">
        <v>4</v>
      </c>
    </row>
    <row r="8">
      <c r="A8" t="inlineStr">
        <is>
          <t>Chip load (IPT)</t>
        </is>
      </c>
      <c r="B8" s="7" t="n">
        <v>0.003</v>
      </c>
    </row>
    <row r="9">
      <c r="A9" t="inlineStr">
        <is>
          <t>Depth of cut (in)</t>
        </is>
      </c>
      <c r="B9" s="7" t="n">
        <v>0.05</v>
      </c>
    </row>
    <row r="10">
      <c r="A10" t="inlineStr">
        <is>
          <t>Width of cut (in)</t>
        </is>
      </c>
      <c r="B10" s="7" t="n">
        <v>0.25</v>
      </c>
    </row>
    <row r="11">
      <c r="A11" s="3" t="inlineStr">
        <is>
          <t>RPM</t>
        </is>
      </c>
      <c r="B11" s="8">
        <f>B5*3.82/B6</f>
        <v/>
      </c>
    </row>
    <row r="12">
      <c r="A12" t="inlineStr">
        <is>
          <t>Feed rate (IPM)</t>
        </is>
      </c>
      <c r="B12" s="9">
        <f>B11*B8*B7</f>
        <v/>
      </c>
    </row>
    <row r="13">
      <c r="A13" t="inlineStr">
        <is>
          <t>Feed per rev (IPR)</t>
        </is>
      </c>
      <c r="B13" s="10">
        <f>B12/B11</f>
        <v/>
      </c>
    </row>
    <row r="14">
      <c r="A14" t="inlineStr">
        <is>
          <t>Metal removal rate (in³/min)</t>
        </is>
      </c>
      <c r="B14" s="11">
        <f>B11*B9*B10*B8*B7</f>
        <v/>
      </c>
    </row>
    <row r="16">
      <c r="A16" s="5" t="inlineStr">
        <is>
          <t>2 — MILL CHECK — chip load from a known feed rate</t>
        </is>
      </c>
    </row>
    <row r="17">
      <c r="A17" t="inlineStr">
        <is>
          <t>Feed rate (IPM)</t>
        </is>
      </c>
      <c r="B17" s="12" t="n">
        <v>40</v>
      </c>
    </row>
    <row r="18">
      <c r="A18" t="inlineStr">
        <is>
          <t>RPM</t>
        </is>
      </c>
      <c r="B18" s="6" t="n">
        <v>1400</v>
      </c>
    </row>
    <row r="19">
      <c r="A19" t="inlineStr">
        <is>
          <t>Teeth / flutes</t>
        </is>
      </c>
      <c r="B19" s="6" t="n">
        <v>5</v>
      </c>
    </row>
    <row r="20">
      <c r="A20" t="inlineStr">
        <is>
          <t>Chip load (IPT)</t>
        </is>
      </c>
      <c r="B20" s="13">
        <f>B17/(B18*B19)</f>
        <v/>
      </c>
    </row>
    <row r="21">
      <c r="A21" t="inlineStr">
        <is>
          <t>Feed per rev (IPR)</t>
        </is>
      </c>
      <c r="B21" s="13">
        <f>B17/B18</f>
        <v/>
      </c>
    </row>
    <row r="23">
      <c r="A23" s="5" t="inlineStr">
        <is>
          <t>3 — LATHE</t>
        </is>
      </c>
    </row>
    <row r="24">
      <c r="A24" t="inlineStr">
        <is>
          <t>Surface speed (SFM)</t>
        </is>
      </c>
      <c r="B24" s="6" t="n">
        <v>300</v>
      </c>
    </row>
    <row r="25">
      <c r="A25" t="inlineStr">
        <is>
          <t>Work diameter (in)</t>
        </is>
      </c>
      <c r="B25" s="7" t="n">
        <v>2</v>
      </c>
    </row>
    <row r="26">
      <c r="A26" t="inlineStr">
        <is>
          <t>Feed (IPR)</t>
        </is>
      </c>
      <c r="B26" s="7" t="n">
        <v>0.008</v>
      </c>
    </row>
    <row r="27">
      <c r="A27" t="inlineStr">
        <is>
          <t>Depth of cut (in)</t>
        </is>
      </c>
      <c r="B27" s="7" t="n">
        <v>0.06</v>
      </c>
    </row>
    <row r="28">
      <c r="A28" t="inlineStr">
        <is>
          <t>Tool nose radius (in)</t>
        </is>
      </c>
      <c r="B28" s="7" t="n">
        <v>0.031</v>
      </c>
    </row>
    <row r="29">
      <c r="A29" s="3" t="inlineStr">
        <is>
          <t>RPM</t>
        </is>
      </c>
      <c r="B29" s="8">
        <f>B24*3.82/B25</f>
        <v/>
      </c>
    </row>
    <row r="30">
      <c r="A30" t="inlineStr">
        <is>
          <t>Feed rate (IPM)</t>
        </is>
      </c>
      <c r="B30" s="9">
        <f>B29*B26</f>
        <v/>
      </c>
    </row>
    <row r="31">
      <c r="A31" t="inlineStr">
        <is>
          <t>Metal removal rate (in³/min)</t>
        </is>
      </c>
      <c r="B31" s="11">
        <f>B24*12*B26*B27</f>
        <v/>
      </c>
    </row>
    <row r="33">
      <c r="A33" s="5" t="inlineStr">
        <is>
          <t>4 — SURFACE FINISH (mill &amp; lathe, standard scallop geometry)</t>
        </is>
      </c>
    </row>
    <row r="34">
      <c r="A34" t="inlineStr">
        <is>
          <t>Feed per rev (IPR)</t>
        </is>
      </c>
      <c r="B34" s="7" t="n">
        <v>0.012</v>
      </c>
    </row>
    <row r="35">
      <c r="A35" t="inlineStr">
        <is>
          <t>Nose / corner radius (in)</t>
        </is>
      </c>
      <c r="B35" s="7" t="n">
        <v>0.031</v>
      </c>
    </row>
    <row r="36">
      <c r="A36" s="3" t="inlineStr">
        <is>
          <t>Rt — scallop height (µin)</t>
        </is>
      </c>
      <c r="B36" s="14">
        <f>(B34^2)/(8*B35)*1000000</f>
        <v/>
      </c>
    </row>
    <row r="37">
      <c r="A37" t="inlineStr">
        <is>
          <t>Ra — approximate (µin)</t>
        </is>
      </c>
      <c r="B37" s="15">
        <f>B36/4</f>
        <v/>
      </c>
    </row>
    <row r="38">
      <c r="A38" s="2" t="inlineStr">
        <is>
          <t>Rt = feed² ÷ (8 × nose radius); Ra shown as the customary Rt ÷ 4 approximation.</t>
        </is>
      </c>
    </row>
    <row r="40">
      <c r="A40" s="5" t="inlineStr">
        <is>
          <t>5 — FINISH PLANNER — feed for a target finish</t>
        </is>
      </c>
    </row>
    <row r="41">
      <c r="A41" t="inlineStr">
        <is>
          <t>Target finish Rt (µin)</t>
        </is>
      </c>
      <c r="B41" s="16" t="n">
        <v>63</v>
      </c>
    </row>
    <row r="42">
      <c r="A42" t="inlineStr">
        <is>
          <t>Nose radius (in)</t>
        </is>
      </c>
      <c r="B42" s="7" t="n">
        <v>0.031</v>
      </c>
    </row>
    <row r="43">
      <c r="A43" t="inlineStr">
        <is>
          <t>Feed per rev needed (IPR)</t>
        </is>
      </c>
      <c r="B43" s="13">
        <f>SQRT(B41*8*B42/1000000)</f>
        <v/>
      </c>
    </row>
    <row r="44">
      <c r="A44" t="inlineStr">
        <is>
          <t>Feed per rev on hand (IPR)</t>
        </is>
      </c>
      <c r="B44" s="7" t="n">
        <v>0.005</v>
      </c>
    </row>
    <row r="45">
      <c r="A45" t="inlineStr">
        <is>
          <t>Nose radius needed for that feed (in)</t>
        </is>
      </c>
      <c r="B45" s="10">
        <f>(B44^2)*1000000/(8*B41)</f>
        <v/>
      </c>
    </row>
    <row r="47">
      <c r="A47" s="5" t="inlineStr">
        <is>
          <t>6 — TOOL LIFE / SPEED ADJUSTMENT (Taylor V·Tⁿ = C, n = 0.25 carbide)</t>
        </is>
      </c>
    </row>
    <row r="48">
      <c r="A48" t="inlineStr">
        <is>
          <t>SFM that gives 15-min life</t>
        </is>
      </c>
      <c r="B48" s="6" t="n">
        <v>300</v>
      </c>
    </row>
    <row r="49">
      <c r="A49" t="inlineStr">
        <is>
          <t>Wanted tool life (min)</t>
        </is>
      </c>
      <c r="B49" s="6" t="n">
        <v>30</v>
      </c>
    </row>
    <row r="50">
      <c r="A50" t="inlineStr">
        <is>
          <t>Time in cut per part (min)</t>
        </is>
      </c>
      <c r="B50" s="17" t="n">
        <v>0.5</v>
      </c>
    </row>
    <row r="51">
      <c r="A51" t="inlineStr">
        <is>
          <t>Speed factor</t>
        </is>
      </c>
      <c r="B51" s="10">
        <f>(15/B49)^0.25</f>
        <v/>
      </c>
    </row>
    <row r="52">
      <c r="A52" s="3" t="inlineStr">
        <is>
          <t>SFM for wanted life</t>
        </is>
      </c>
      <c r="B52" s="14">
        <f>B48*B51</f>
        <v/>
      </c>
    </row>
    <row r="53">
      <c r="A53" t="inlineStr">
        <is>
          <t>Parts per insert (at 15-min life)</t>
        </is>
      </c>
      <c r="B53" s="18">
        <f>CEILING(15/B50,1)</f>
        <v/>
      </c>
    </row>
    <row r="54">
      <c r="A54" s="19" t="inlineStr">
        <is>
          <t>Standard lives — factor table</t>
        </is>
      </c>
    </row>
    <row r="55">
      <c r="A55" s="3" t="inlineStr">
        <is>
          <t>Tool life (min)</t>
        </is>
      </c>
      <c r="B55" s="3" t="inlineStr">
        <is>
          <t>Factor</t>
        </is>
      </c>
      <c r="C55" s="3" t="inlineStr">
        <is>
          <t>SFM</t>
        </is>
      </c>
    </row>
    <row r="56">
      <c r="A56" t="n">
        <v>5</v>
      </c>
      <c r="B56" s="10">
        <f>(15/A56)^0.25</f>
        <v/>
      </c>
      <c r="C56" s="15">
        <f>B48*B56</f>
        <v/>
      </c>
    </row>
    <row r="57">
      <c r="A57" t="n">
        <v>10</v>
      </c>
      <c r="B57" s="10">
        <f>(15/A57)^0.25</f>
        <v/>
      </c>
      <c r="C57" s="15">
        <f>B48*B57</f>
        <v/>
      </c>
    </row>
    <row r="58">
      <c r="A58" t="n">
        <v>15</v>
      </c>
      <c r="B58" s="10">
        <f>(15/A58)^0.25</f>
        <v/>
      </c>
      <c r="C58" s="15">
        <f>B48*B58</f>
        <v/>
      </c>
    </row>
    <row r="59">
      <c r="A59" t="n">
        <v>20</v>
      </c>
      <c r="B59" s="10">
        <f>(15/A59)^0.25</f>
        <v/>
      </c>
      <c r="C59" s="15">
        <f>B48*B59</f>
        <v/>
      </c>
    </row>
    <row r="60">
      <c r="A60" t="n">
        <v>25</v>
      </c>
      <c r="B60" s="10">
        <f>(15/A60)^0.25</f>
        <v/>
      </c>
      <c r="C60" s="15">
        <f>B48*B60</f>
        <v/>
      </c>
    </row>
    <row r="61">
      <c r="A61" t="n">
        <v>30</v>
      </c>
      <c r="B61" s="10">
        <f>(15/A61)^0.25</f>
        <v/>
      </c>
      <c r="C61" s="15">
        <f>B48*B61</f>
        <v/>
      </c>
    </row>
    <row r="62">
      <c r="A62" t="n">
        <v>45</v>
      </c>
      <c r="B62" s="10">
        <f>(15/A62)^0.25</f>
        <v/>
      </c>
      <c r="C62" s="15">
        <f>B48*B62</f>
        <v/>
      </c>
    </row>
    <row r="63">
      <c r="A63" t="n">
        <v>60</v>
      </c>
      <c r="B63" s="10">
        <f>(15/A63)^0.25</f>
        <v/>
      </c>
      <c r="C63" s="15">
        <f>B48*B63</f>
        <v/>
      </c>
    </row>
    <row r="65">
      <c r="A65" s="5" t="inlineStr">
        <is>
          <t>7 — MILLING TIME IN CUT</t>
        </is>
      </c>
    </row>
    <row r="66">
      <c r="A66" t="inlineStr">
        <is>
          <t>Tool diameter (in)</t>
        </is>
      </c>
      <c r="B66" s="7" t="n">
        <v>1</v>
      </c>
    </row>
    <row r="67">
      <c r="A67" t="inlineStr">
        <is>
          <t>Width of cut (in)</t>
        </is>
      </c>
      <c r="B67" s="7" t="n">
        <v>0.5</v>
      </c>
    </row>
    <row r="68">
      <c r="A68" t="inlineStr">
        <is>
          <t>Cycle time in cut (min)</t>
        </is>
      </c>
      <c r="B68" s="17" t="n">
        <v>1</v>
      </c>
    </row>
    <row r="69">
      <c r="A69" t="inlineStr">
        <is>
          <t>Engaged fraction of each rev</t>
        </is>
      </c>
      <c r="B69" s="10">
        <f>(90+DEGREES(ASIN((2*B67-B66)/B66)))/360</f>
        <v/>
      </c>
    </row>
    <row r="70">
      <c r="A70" t="inlineStr">
        <is>
          <t>Time actually cutting (min)</t>
        </is>
      </c>
      <c r="B70" s="10">
        <f>B69*B68</f>
        <v/>
      </c>
    </row>
    <row r="72">
      <c r="A72" s="5" t="inlineStr">
        <is>
          <t>8 — CUTTING SPEED — STARTING SFM BY MATERIAL</t>
        </is>
      </c>
    </row>
    <row r="73">
      <c r="A73" s="3" t="inlineStr">
        <is>
          <t>Material</t>
        </is>
      </c>
      <c r="B73" s="3" t="inlineStr">
        <is>
          <t>HSS (SFM)</t>
        </is>
      </c>
      <c r="C73" s="3" t="inlineStr">
        <is>
          <t>Carbide (SFM)</t>
        </is>
      </c>
    </row>
    <row r="74">
      <c r="A74" t="inlineStr">
        <is>
          <t>Aluminum alloys</t>
        </is>
      </c>
      <c r="B74" t="inlineStr">
        <is>
          <t>250-400</t>
        </is>
      </c>
      <c r="C74" t="inlineStr">
        <is>
          <t>800-1500</t>
        </is>
      </c>
    </row>
    <row r="75">
      <c r="A75" t="inlineStr">
        <is>
          <t>Magnesium alloys</t>
        </is>
      </c>
      <c r="B75" t="inlineStr">
        <is>
          <t>300-500</t>
        </is>
      </c>
      <c r="C75" t="inlineStr">
        <is>
          <t>1000+</t>
        </is>
      </c>
    </row>
    <row r="76">
      <c r="A76" t="inlineStr">
        <is>
          <t>Brass - free-cutting</t>
        </is>
      </c>
      <c r="B76" t="inlineStr">
        <is>
          <t>150-250</t>
        </is>
      </c>
      <c r="C76" t="inlineStr">
        <is>
          <t>500-800</t>
        </is>
      </c>
    </row>
    <row r="77">
      <c r="A77" t="inlineStr">
        <is>
          <t>Brass / bronze - hard</t>
        </is>
      </c>
      <c r="B77" t="inlineStr">
        <is>
          <t>100-180</t>
        </is>
      </c>
      <c r="C77" t="inlineStr">
        <is>
          <t>350-600</t>
        </is>
      </c>
    </row>
    <row r="78">
      <c r="A78" t="inlineStr">
        <is>
          <t>Copper</t>
        </is>
      </c>
      <c r="B78" t="inlineStr">
        <is>
          <t>100-175</t>
        </is>
      </c>
      <c r="C78" t="inlineStr">
        <is>
          <t>400-700</t>
        </is>
      </c>
    </row>
    <row r="79">
      <c r="A79" t="inlineStr">
        <is>
          <t>Cast iron - gray</t>
        </is>
      </c>
      <c r="B79" t="inlineStr">
        <is>
          <t>60-100</t>
        </is>
      </c>
      <c r="C79" t="inlineStr">
        <is>
          <t>250-400</t>
        </is>
      </c>
    </row>
    <row r="80">
      <c r="A80" t="inlineStr">
        <is>
          <t>Cast iron - ductile / malleable</t>
        </is>
      </c>
      <c r="B80" t="inlineStr">
        <is>
          <t>50-90</t>
        </is>
      </c>
      <c r="C80" t="inlineStr">
        <is>
          <t>200-350</t>
        </is>
      </c>
    </row>
    <row r="81">
      <c r="A81" t="inlineStr">
        <is>
          <t>Steel - mild (1018)</t>
        </is>
      </c>
      <c r="B81" t="inlineStr">
        <is>
          <t>80-110</t>
        </is>
      </c>
      <c r="C81" t="inlineStr">
        <is>
          <t>300-450</t>
        </is>
      </c>
    </row>
    <row r="82">
      <c r="A82" t="inlineStr">
        <is>
          <t>Steel - medium carbon (1045)</t>
        </is>
      </c>
      <c r="B82" t="inlineStr">
        <is>
          <t>60-90</t>
        </is>
      </c>
      <c r="C82" t="inlineStr">
        <is>
          <t>250-350</t>
        </is>
      </c>
    </row>
    <row r="83">
      <c r="A83" t="inlineStr">
        <is>
          <t>Steel - alloy, annealed (4140)</t>
        </is>
      </c>
      <c r="B83" t="inlineStr">
        <is>
          <t>50-80</t>
        </is>
      </c>
      <c r="C83" t="inlineStr">
        <is>
          <t>200-300</t>
        </is>
      </c>
    </row>
    <row r="84">
      <c r="A84" t="inlineStr">
        <is>
          <t>Steel - alloy, hardened ~40 HRC</t>
        </is>
      </c>
      <c r="B84" t="inlineStr">
        <is>
          <t>-</t>
        </is>
      </c>
      <c r="C84" t="inlineStr">
        <is>
          <t>100-180</t>
        </is>
      </c>
    </row>
    <row r="85">
      <c r="A85" t="inlineStr">
        <is>
          <t>Tool steel, annealed</t>
        </is>
      </c>
      <c r="B85" t="inlineStr">
        <is>
          <t>40-70</t>
        </is>
      </c>
      <c r="C85" t="inlineStr">
        <is>
          <t>150-250</t>
        </is>
      </c>
    </row>
    <row r="86">
      <c r="A86" t="inlineStr">
        <is>
          <t>Stainless - free-machining (303)</t>
        </is>
      </c>
      <c r="B86" t="inlineStr">
        <is>
          <t>50-80</t>
        </is>
      </c>
      <c r="C86" t="inlineStr">
        <is>
          <t>200-300</t>
        </is>
      </c>
    </row>
    <row r="87">
      <c r="A87" t="inlineStr">
        <is>
          <t>Stainless - austenitic (304/316)</t>
        </is>
      </c>
      <c r="B87" t="inlineStr">
        <is>
          <t>35-60</t>
        </is>
      </c>
      <c r="C87" t="inlineStr">
        <is>
          <t>120-220</t>
        </is>
      </c>
    </row>
    <row r="88">
      <c r="A88" t="inlineStr">
        <is>
          <t>Titanium (6Al-4V)</t>
        </is>
      </c>
      <c r="B88" t="inlineStr">
        <is>
          <t>20-35</t>
        </is>
      </c>
      <c r="C88" t="inlineStr">
        <is>
          <t>60-100</t>
        </is>
      </c>
    </row>
    <row r="89">
      <c r="A89" t="inlineStr">
        <is>
          <t>Plastics (acetal, nylon)</t>
        </is>
      </c>
      <c r="B89" t="inlineStr">
        <is>
          <t>200-400</t>
        </is>
      </c>
      <c r="C89" t="inlineStr">
        <is>
          <t>500-900</t>
        </is>
      </c>
    </row>
    <row r="90">
      <c r="A90" s="2" t="inlineStr">
        <is>
          <t>Starting ranges only, from standard textbook tables — adjust to your machine, setup, coolant, and the tooling maker’s recommendations. Drilling usually starts at the low end.</t>
        </is>
      </c>
    </row>
    <row r="92">
      <c r="A92" s="5" t="inlineStr">
        <is>
          <t>9 — RPM QUICK CHART — SFM × DIAMETER</t>
        </is>
      </c>
    </row>
    <row r="93">
      <c r="A93" s="3" t="inlineStr">
        <is>
          <t>SFM \ Diameter (in)</t>
        </is>
      </c>
      <c r="B93" s="3" t="inlineStr">
        <is>
          <t>1/16</t>
        </is>
      </c>
      <c r="C93" s="3" t="inlineStr">
        <is>
          <t>1/8</t>
        </is>
      </c>
      <c r="D93" s="3" t="inlineStr">
        <is>
          <t>3/16</t>
        </is>
      </c>
      <c r="E93" s="3" t="inlineStr">
        <is>
          <t>1/4</t>
        </is>
      </c>
      <c r="F93" s="3" t="inlineStr">
        <is>
          <t>3/8</t>
        </is>
      </c>
      <c r="G93" s="3" t="inlineStr">
        <is>
          <t>1/2</t>
        </is>
      </c>
      <c r="H93" s="3" t="inlineStr">
        <is>
          <t>3/4</t>
        </is>
      </c>
      <c r="I93" s="3" t="inlineStr">
        <is>
          <t>1</t>
        </is>
      </c>
      <c r="J93" s="3" t="inlineStr">
        <is>
          <t>1-1/2</t>
        </is>
      </c>
      <c r="K93" s="3" t="inlineStr">
        <is>
          <t>2</t>
        </is>
      </c>
      <c r="L93" s="3" t="inlineStr">
        <is>
          <t>3</t>
        </is>
      </c>
      <c r="M93" s="3" t="inlineStr">
        <is>
          <t>4</t>
        </is>
      </c>
      <c r="N93" s="3" t="inlineStr">
        <is>
          <t>6</t>
        </is>
      </c>
    </row>
    <row r="94">
      <c r="A94" s="18" t="n">
        <v>20</v>
      </c>
      <c r="B94" s="18">
        <f>ROUND($A94*3.82/0.0625,0)</f>
        <v/>
      </c>
      <c r="C94" s="18">
        <f>ROUND($A94*3.82/0.125,0)</f>
        <v/>
      </c>
      <c r="D94" s="18">
        <f>ROUND($A94*3.82/0.1875,0)</f>
        <v/>
      </c>
      <c r="E94" s="18">
        <f>ROUND($A94*3.82/0.25,0)</f>
        <v/>
      </c>
      <c r="F94" s="18">
        <f>ROUND($A94*3.82/0.375,0)</f>
        <v/>
      </c>
      <c r="G94" s="18">
        <f>ROUND($A94*3.82/0.5,0)</f>
        <v/>
      </c>
      <c r="H94" s="18">
        <f>ROUND($A94*3.82/0.75,0)</f>
        <v/>
      </c>
      <c r="I94" s="18">
        <f>ROUND($A94*3.82/1,0)</f>
        <v/>
      </c>
      <c r="J94" s="18">
        <f>ROUND($A94*3.82/1.5,0)</f>
        <v/>
      </c>
      <c r="K94" s="18">
        <f>ROUND($A94*3.82/2,0)</f>
        <v/>
      </c>
      <c r="L94" s="18">
        <f>ROUND($A94*3.82/3,0)</f>
        <v/>
      </c>
      <c r="M94" s="18">
        <f>ROUND($A94*3.82/4,0)</f>
        <v/>
      </c>
      <c r="N94" s="18">
        <f>ROUND($A94*3.82/6,0)</f>
        <v/>
      </c>
    </row>
    <row r="95">
      <c r="A95" s="18" t="n">
        <v>30</v>
      </c>
      <c r="B95" s="18">
        <f>ROUND($A95*3.82/0.0625,0)</f>
        <v/>
      </c>
      <c r="C95" s="18">
        <f>ROUND($A95*3.82/0.125,0)</f>
        <v/>
      </c>
      <c r="D95" s="18">
        <f>ROUND($A95*3.82/0.1875,0)</f>
        <v/>
      </c>
      <c r="E95" s="18">
        <f>ROUND($A95*3.82/0.25,0)</f>
        <v/>
      </c>
      <c r="F95" s="18">
        <f>ROUND($A95*3.82/0.375,0)</f>
        <v/>
      </c>
      <c r="G95" s="18">
        <f>ROUND($A95*3.82/0.5,0)</f>
        <v/>
      </c>
      <c r="H95" s="18">
        <f>ROUND($A95*3.82/0.75,0)</f>
        <v/>
      </c>
      <c r="I95" s="18">
        <f>ROUND($A95*3.82/1,0)</f>
        <v/>
      </c>
      <c r="J95" s="18">
        <f>ROUND($A95*3.82/1.5,0)</f>
        <v/>
      </c>
      <c r="K95" s="18">
        <f>ROUND($A95*3.82/2,0)</f>
        <v/>
      </c>
      <c r="L95" s="18">
        <f>ROUND($A95*3.82/3,0)</f>
        <v/>
      </c>
      <c r="M95" s="18">
        <f>ROUND($A95*3.82/4,0)</f>
        <v/>
      </c>
      <c r="N95" s="18">
        <f>ROUND($A95*3.82/6,0)</f>
        <v/>
      </c>
    </row>
    <row r="96">
      <c r="A96" s="18" t="n">
        <v>40</v>
      </c>
      <c r="B96" s="18">
        <f>ROUND($A96*3.82/0.0625,0)</f>
        <v/>
      </c>
      <c r="C96" s="18">
        <f>ROUND($A96*3.82/0.125,0)</f>
        <v/>
      </c>
      <c r="D96" s="18">
        <f>ROUND($A96*3.82/0.1875,0)</f>
        <v/>
      </c>
      <c r="E96" s="18">
        <f>ROUND($A96*3.82/0.25,0)</f>
        <v/>
      </c>
      <c r="F96" s="18">
        <f>ROUND($A96*3.82/0.375,0)</f>
        <v/>
      </c>
      <c r="G96" s="18">
        <f>ROUND($A96*3.82/0.5,0)</f>
        <v/>
      </c>
      <c r="H96" s="18">
        <f>ROUND($A96*3.82/0.75,0)</f>
        <v/>
      </c>
      <c r="I96" s="18">
        <f>ROUND($A96*3.82/1,0)</f>
        <v/>
      </c>
      <c r="J96" s="18">
        <f>ROUND($A96*3.82/1.5,0)</f>
        <v/>
      </c>
      <c r="K96" s="18">
        <f>ROUND($A96*3.82/2,0)</f>
        <v/>
      </c>
      <c r="L96" s="18">
        <f>ROUND($A96*3.82/3,0)</f>
        <v/>
      </c>
      <c r="M96" s="18">
        <f>ROUND($A96*3.82/4,0)</f>
        <v/>
      </c>
      <c r="N96" s="18">
        <f>ROUND($A96*3.82/6,0)</f>
        <v/>
      </c>
    </row>
    <row r="97">
      <c r="A97" s="18" t="n">
        <v>50</v>
      </c>
      <c r="B97" s="18">
        <f>ROUND($A97*3.82/0.0625,0)</f>
        <v/>
      </c>
      <c r="C97" s="18">
        <f>ROUND($A97*3.82/0.125,0)</f>
        <v/>
      </c>
      <c r="D97" s="18">
        <f>ROUND($A97*3.82/0.1875,0)</f>
        <v/>
      </c>
      <c r="E97" s="18">
        <f>ROUND($A97*3.82/0.25,0)</f>
        <v/>
      </c>
      <c r="F97" s="18">
        <f>ROUND($A97*3.82/0.375,0)</f>
        <v/>
      </c>
      <c r="G97" s="18">
        <f>ROUND($A97*3.82/0.5,0)</f>
        <v/>
      </c>
      <c r="H97" s="18">
        <f>ROUND($A97*3.82/0.75,0)</f>
        <v/>
      </c>
      <c r="I97" s="18">
        <f>ROUND($A97*3.82/1,0)</f>
        <v/>
      </c>
      <c r="J97" s="18">
        <f>ROUND($A97*3.82/1.5,0)</f>
        <v/>
      </c>
      <c r="K97" s="18">
        <f>ROUND($A97*3.82/2,0)</f>
        <v/>
      </c>
      <c r="L97" s="18">
        <f>ROUND($A97*3.82/3,0)</f>
        <v/>
      </c>
      <c r="M97" s="18">
        <f>ROUND($A97*3.82/4,0)</f>
        <v/>
      </c>
      <c r="N97" s="18">
        <f>ROUND($A97*3.82/6,0)</f>
        <v/>
      </c>
    </row>
    <row r="98">
      <c r="A98" s="18" t="n">
        <v>60</v>
      </c>
      <c r="B98" s="18">
        <f>ROUND($A98*3.82/0.0625,0)</f>
        <v/>
      </c>
      <c r="C98" s="18">
        <f>ROUND($A98*3.82/0.125,0)</f>
        <v/>
      </c>
      <c r="D98" s="18">
        <f>ROUND($A98*3.82/0.1875,0)</f>
        <v/>
      </c>
      <c r="E98" s="18">
        <f>ROUND($A98*3.82/0.25,0)</f>
        <v/>
      </c>
      <c r="F98" s="18">
        <f>ROUND($A98*3.82/0.375,0)</f>
        <v/>
      </c>
      <c r="G98" s="18">
        <f>ROUND($A98*3.82/0.5,0)</f>
        <v/>
      </c>
      <c r="H98" s="18">
        <f>ROUND($A98*3.82/0.75,0)</f>
        <v/>
      </c>
      <c r="I98" s="18">
        <f>ROUND($A98*3.82/1,0)</f>
        <v/>
      </c>
      <c r="J98" s="18">
        <f>ROUND($A98*3.82/1.5,0)</f>
        <v/>
      </c>
      <c r="K98" s="18">
        <f>ROUND($A98*3.82/2,0)</f>
        <v/>
      </c>
      <c r="L98" s="18">
        <f>ROUND($A98*3.82/3,0)</f>
        <v/>
      </c>
      <c r="M98" s="18">
        <f>ROUND($A98*3.82/4,0)</f>
        <v/>
      </c>
      <c r="N98" s="18">
        <f>ROUND($A98*3.82/6,0)</f>
        <v/>
      </c>
    </row>
    <row r="99">
      <c r="A99" s="18" t="n">
        <v>80</v>
      </c>
      <c r="B99" s="18">
        <f>ROUND($A99*3.82/0.0625,0)</f>
        <v/>
      </c>
      <c r="C99" s="18">
        <f>ROUND($A99*3.82/0.125,0)</f>
        <v/>
      </c>
      <c r="D99" s="18">
        <f>ROUND($A99*3.82/0.1875,0)</f>
        <v/>
      </c>
      <c r="E99" s="18">
        <f>ROUND($A99*3.82/0.25,0)</f>
        <v/>
      </c>
      <c r="F99" s="18">
        <f>ROUND($A99*3.82/0.375,0)</f>
        <v/>
      </c>
      <c r="G99" s="18">
        <f>ROUND($A99*3.82/0.5,0)</f>
        <v/>
      </c>
      <c r="H99" s="18">
        <f>ROUND($A99*3.82/0.75,0)</f>
        <v/>
      </c>
      <c r="I99" s="18">
        <f>ROUND($A99*3.82/1,0)</f>
        <v/>
      </c>
      <c r="J99" s="18">
        <f>ROUND($A99*3.82/1.5,0)</f>
        <v/>
      </c>
      <c r="K99" s="18">
        <f>ROUND($A99*3.82/2,0)</f>
        <v/>
      </c>
      <c r="L99" s="18">
        <f>ROUND($A99*3.82/3,0)</f>
        <v/>
      </c>
      <c r="M99" s="18">
        <f>ROUND($A99*3.82/4,0)</f>
        <v/>
      </c>
      <c r="N99" s="18">
        <f>ROUND($A99*3.82/6,0)</f>
        <v/>
      </c>
    </row>
    <row r="100">
      <c r="A100" s="18" t="n">
        <v>100</v>
      </c>
      <c r="B100" s="18">
        <f>ROUND($A100*3.82/0.0625,0)</f>
        <v/>
      </c>
      <c r="C100" s="18">
        <f>ROUND($A100*3.82/0.125,0)</f>
        <v/>
      </c>
      <c r="D100" s="18">
        <f>ROUND($A100*3.82/0.1875,0)</f>
        <v/>
      </c>
      <c r="E100" s="18">
        <f>ROUND($A100*3.82/0.25,0)</f>
        <v/>
      </c>
      <c r="F100" s="18">
        <f>ROUND($A100*3.82/0.375,0)</f>
        <v/>
      </c>
      <c r="G100" s="18">
        <f>ROUND($A100*3.82/0.5,0)</f>
        <v/>
      </c>
      <c r="H100" s="18">
        <f>ROUND($A100*3.82/0.75,0)</f>
        <v/>
      </c>
      <c r="I100" s="18">
        <f>ROUND($A100*3.82/1,0)</f>
        <v/>
      </c>
      <c r="J100" s="18">
        <f>ROUND($A100*3.82/1.5,0)</f>
        <v/>
      </c>
      <c r="K100" s="18">
        <f>ROUND($A100*3.82/2,0)</f>
        <v/>
      </c>
      <c r="L100" s="18">
        <f>ROUND($A100*3.82/3,0)</f>
        <v/>
      </c>
      <c r="M100" s="18">
        <f>ROUND($A100*3.82/4,0)</f>
        <v/>
      </c>
      <c r="N100" s="18">
        <f>ROUND($A100*3.82/6,0)</f>
        <v/>
      </c>
    </row>
    <row r="101">
      <c r="A101" s="18" t="n">
        <v>120</v>
      </c>
      <c r="B101" s="18">
        <f>ROUND($A101*3.82/0.0625,0)</f>
        <v/>
      </c>
      <c r="C101" s="18">
        <f>ROUND($A101*3.82/0.125,0)</f>
        <v/>
      </c>
      <c r="D101" s="18">
        <f>ROUND($A101*3.82/0.1875,0)</f>
        <v/>
      </c>
      <c r="E101" s="18">
        <f>ROUND($A101*3.82/0.25,0)</f>
        <v/>
      </c>
      <c r="F101" s="18">
        <f>ROUND($A101*3.82/0.375,0)</f>
        <v/>
      </c>
      <c r="G101" s="18">
        <f>ROUND($A101*3.82/0.5,0)</f>
        <v/>
      </c>
      <c r="H101" s="18">
        <f>ROUND($A101*3.82/0.75,0)</f>
        <v/>
      </c>
      <c r="I101" s="18">
        <f>ROUND($A101*3.82/1,0)</f>
        <v/>
      </c>
      <c r="J101" s="18">
        <f>ROUND($A101*3.82/1.5,0)</f>
        <v/>
      </c>
      <c r="K101" s="18">
        <f>ROUND($A101*3.82/2,0)</f>
        <v/>
      </c>
      <c r="L101" s="18">
        <f>ROUND($A101*3.82/3,0)</f>
        <v/>
      </c>
      <c r="M101" s="18">
        <f>ROUND($A101*3.82/4,0)</f>
        <v/>
      </c>
      <c r="N101" s="18">
        <f>ROUND($A101*3.82/6,0)</f>
        <v/>
      </c>
    </row>
    <row r="102">
      <c r="A102" s="18" t="n">
        <v>150</v>
      </c>
      <c r="B102" s="18">
        <f>ROUND($A102*3.82/0.0625,0)</f>
        <v/>
      </c>
      <c r="C102" s="18">
        <f>ROUND($A102*3.82/0.125,0)</f>
        <v/>
      </c>
      <c r="D102" s="18">
        <f>ROUND($A102*3.82/0.1875,0)</f>
        <v/>
      </c>
      <c r="E102" s="18">
        <f>ROUND($A102*3.82/0.25,0)</f>
        <v/>
      </c>
      <c r="F102" s="18">
        <f>ROUND($A102*3.82/0.375,0)</f>
        <v/>
      </c>
      <c r="G102" s="18">
        <f>ROUND($A102*3.82/0.5,0)</f>
        <v/>
      </c>
      <c r="H102" s="18">
        <f>ROUND($A102*3.82/0.75,0)</f>
        <v/>
      </c>
      <c r="I102" s="18">
        <f>ROUND($A102*3.82/1,0)</f>
        <v/>
      </c>
      <c r="J102" s="18">
        <f>ROUND($A102*3.82/1.5,0)</f>
        <v/>
      </c>
      <c r="K102" s="18">
        <f>ROUND($A102*3.82/2,0)</f>
        <v/>
      </c>
      <c r="L102" s="18">
        <f>ROUND($A102*3.82/3,0)</f>
        <v/>
      </c>
      <c r="M102" s="18">
        <f>ROUND($A102*3.82/4,0)</f>
        <v/>
      </c>
      <c r="N102" s="18">
        <f>ROUND($A102*3.82/6,0)</f>
        <v/>
      </c>
    </row>
    <row r="103">
      <c r="A103" s="18" t="n">
        <v>200</v>
      </c>
      <c r="B103" s="18">
        <f>ROUND($A103*3.82/0.0625,0)</f>
        <v/>
      </c>
      <c r="C103" s="18">
        <f>ROUND($A103*3.82/0.125,0)</f>
        <v/>
      </c>
      <c r="D103" s="18">
        <f>ROUND($A103*3.82/0.1875,0)</f>
        <v/>
      </c>
      <c r="E103" s="18">
        <f>ROUND($A103*3.82/0.25,0)</f>
        <v/>
      </c>
      <c r="F103" s="18">
        <f>ROUND($A103*3.82/0.375,0)</f>
        <v/>
      </c>
      <c r="G103" s="18">
        <f>ROUND($A103*3.82/0.5,0)</f>
        <v/>
      </c>
      <c r="H103" s="18">
        <f>ROUND($A103*3.82/0.75,0)</f>
        <v/>
      </c>
      <c r="I103" s="18">
        <f>ROUND($A103*3.82/1,0)</f>
        <v/>
      </c>
      <c r="J103" s="18">
        <f>ROUND($A103*3.82/1.5,0)</f>
        <v/>
      </c>
      <c r="K103" s="18">
        <f>ROUND($A103*3.82/2,0)</f>
        <v/>
      </c>
      <c r="L103" s="18">
        <f>ROUND($A103*3.82/3,0)</f>
        <v/>
      </c>
      <c r="M103" s="18">
        <f>ROUND($A103*3.82/4,0)</f>
        <v/>
      </c>
      <c r="N103" s="18">
        <f>ROUND($A103*3.82/6,0)</f>
        <v/>
      </c>
    </row>
    <row r="104">
      <c r="A104" s="18" t="n">
        <v>250</v>
      </c>
      <c r="B104" s="18">
        <f>ROUND($A104*3.82/0.0625,0)</f>
        <v/>
      </c>
      <c r="C104" s="18">
        <f>ROUND($A104*3.82/0.125,0)</f>
        <v/>
      </c>
      <c r="D104" s="18">
        <f>ROUND($A104*3.82/0.1875,0)</f>
        <v/>
      </c>
      <c r="E104" s="18">
        <f>ROUND($A104*3.82/0.25,0)</f>
        <v/>
      </c>
      <c r="F104" s="18">
        <f>ROUND($A104*3.82/0.375,0)</f>
        <v/>
      </c>
      <c r="G104" s="18">
        <f>ROUND($A104*3.82/0.5,0)</f>
        <v/>
      </c>
      <c r="H104" s="18">
        <f>ROUND($A104*3.82/0.75,0)</f>
        <v/>
      </c>
      <c r="I104" s="18">
        <f>ROUND($A104*3.82/1,0)</f>
        <v/>
      </c>
      <c r="J104" s="18">
        <f>ROUND($A104*3.82/1.5,0)</f>
        <v/>
      </c>
      <c r="K104" s="18">
        <f>ROUND($A104*3.82/2,0)</f>
        <v/>
      </c>
      <c r="L104" s="18">
        <f>ROUND($A104*3.82/3,0)</f>
        <v/>
      </c>
      <c r="M104" s="18">
        <f>ROUND($A104*3.82/4,0)</f>
        <v/>
      </c>
      <c r="N104" s="18">
        <f>ROUND($A104*3.82/6,0)</f>
        <v/>
      </c>
    </row>
    <row r="105">
      <c r="A105" s="18" t="n">
        <v>300</v>
      </c>
      <c r="B105" s="18">
        <f>ROUND($A105*3.82/0.0625,0)</f>
        <v/>
      </c>
      <c r="C105" s="18">
        <f>ROUND($A105*3.82/0.125,0)</f>
        <v/>
      </c>
      <c r="D105" s="18">
        <f>ROUND($A105*3.82/0.1875,0)</f>
        <v/>
      </c>
      <c r="E105" s="18">
        <f>ROUND($A105*3.82/0.25,0)</f>
        <v/>
      </c>
      <c r="F105" s="18">
        <f>ROUND($A105*3.82/0.375,0)</f>
        <v/>
      </c>
      <c r="G105" s="18">
        <f>ROUND($A105*3.82/0.5,0)</f>
        <v/>
      </c>
      <c r="H105" s="18">
        <f>ROUND($A105*3.82/0.75,0)</f>
        <v/>
      </c>
      <c r="I105" s="18">
        <f>ROUND($A105*3.82/1,0)</f>
        <v/>
      </c>
      <c r="J105" s="18">
        <f>ROUND($A105*3.82/1.5,0)</f>
        <v/>
      </c>
      <c r="K105" s="18">
        <f>ROUND($A105*3.82/2,0)</f>
        <v/>
      </c>
      <c r="L105" s="18">
        <f>ROUND($A105*3.82/3,0)</f>
        <v/>
      </c>
      <c r="M105" s="18">
        <f>ROUND($A105*3.82/4,0)</f>
        <v/>
      </c>
      <c r="N105" s="18">
        <f>ROUND($A105*3.82/6,0)</f>
        <v/>
      </c>
    </row>
    <row r="106">
      <c r="A106" s="18" t="n">
        <v>350</v>
      </c>
      <c r="B106" s="18">
        <f>ROUND($A106*3.82/0.0625,0)</f>
        <v/>
      </c>
      <c r="C106" s="18">
        <f>ROUND($A106*3.82/0.125,0)</f>
        <v/>
      </c>
      <c r="D106" s="18">
        <f>ROUND($A106*3.82/0.1875,0)</f>
        <v/>
      </c>
      <c r="E106" s="18">
        <f>ROUND($A106*3.82/0.25,0)</f>
        <v/>
      </c>
      <c r="F106" s="18">
        <f>ROUND($A106*3.82/0.375,0)</f>
        <v/>
      </c>
      <c r="G106" s="18">
        <f>ROUND($A106*3.82/0.5,0)</f>
        <v/>
      </c>
      <c r="H106" s="18">
        <f>ROUND($A106*3.82/0.75,0)</f>
        <v/>
      </c>
      <c r="I106" s="18">
        <f>ROUND($A106*3.82/1,0)</f>
        <v/>
      </c>
      <c r="J106" s="18">
        <f>ROUND($A106*3.82/1.5,0)</f>
        <v/>
      </c>
      <c r="K106" s="18">
        <f>ROUND($A106*3.82/2,0)</f>
        <v/>
      </c>
      <c r="L106" s="18">
        <f>ROUND($A106*3.82/3,0)</f>
        <v/>
      </c>
      <c r="M106" s="18">
        <f>ROUND($A106*3.82/4,0)</f>
        <v/>
      </c>
      <c r="N106" s="18">
        <f>ROUND($A106*3.82/6,0)</f>
        <v/>
      </c>
    </row>
    <row r="107">
      <c r="A107" s="18" t="n">
        <v>400</v>
      </c>
      <c r="B107" s="18">
        <f>ROUND($A107*3.82/0.0625,0)</f>
        <v/>
      </c>
      <c r="C107" s="18">
        <f>ROUND($A107*3.82/0.125,0)</f>
        <v/>
      </c>
      <c r="D107" s="18">
        <f>ROUND($A107*3.82/0.1875,0)</f>
        <v/>
      </c>
      <c r="E107" s="18">
        <f>ROUND($A107*3.82/0.25,0)</f>
        <v/>
      </c>
      <c r="F107" s="18">
        <f>ROUND($A107*3.82/0.375,0)</f>
        <v/>
      </c>
      <c r="G107" s="18">
        <f>ROUND($A107*3.82/0.5,0)</f>
        <v/>
      </c>
      <c r="H107" s="18">
        <f>ROUND($A107*3.82/0.75,0)</f>
        <v/>
      </c>
      <c r="I107" s="18">
        <f>ROUND($A107*3.82/1,0)</f>
        <v/>
      </c>
      <c r="J107" s="18">
        <f>ROUND($A107*3.82/1.5,0)</f>
        <v/>
      </c>
      <c r="K107" s="18">
        <f>ROUND($A107*3.82/2,0)</f>
        <v/>
      </c>
      <c r="L107" s="18">
        <f>ROUND($A107*3.82/3,0)</f>
        <v/>
      </c>
      <c r="M107" s="18">
        <f>ROUND($A107*3.82/4,0)</f>
        <v/>
      </c>
      <c r="N107" s="18">
        <f>ROUND($A107*3.82/6,0)</f>
        <v/>
      </c>
    </row>
    <row r="108">
      <c r="A108" s="18" t="n">
        <v>450</v>
      </c>
      <c r="B108" s="18">
        <f>ROUND($A108*3.82/0.0625,0)</f>
        <v/>
      </c>
      <c r="C108" s="18">
        <f>ROUND($A108*3.82/0.125,0)</f>
        <v/>
      </c>
      <c r="D108" s="18">
        <f>ROUND($A108*3.82/0.1875,0)</f>
        <v/>
      </c>
      <c r="E108" s="18">
        <f>ROUND($A108*3.82/0.25,0)</f>
        <v/>
      </c>
      <c r="F108" s="18">
        <f>ROUND($A108*3.82/0.375,0)</f>
        <v/>
      </c>
      <c r="G108" s="18">
        <f>ROUND($A108*3.82/0.5,0)</f>
        <v/>
      </c>
      <c r="H108" s="18">
        <f>ROUND($A108*3.82/0.75,0)</f>
        <v/>
      </c>
      <c r="I108" s="18">
        <f>ROUND($A108*3.82/1,0)</f>
        <v/>
      </c>
      <c r="J108" s="18">
        <f>ROUND($A108*3.82/1.5,0)</f>
        <v/>
      </c>
      <c r="K108" s="18">
        <f>ROUND($A108*3.82/2,0)</f>
        <v/>
      </c>
      <c r="L108" s="18">
        <f>ROUND($A108*3.82/3,0)</f>
        <v/>
      </c>
      <c r="M108" s="18">
        <f>ROUND($A108*3.82/4,0)</f>
        <v/>
      </c>
      <c r="N108" s="18">
        <f>ROUND($A108*3.82/6,0)</f>
        <v/>
      </c>
    </row>
    <row r="109">
      <c r="A109" s="18" t="n">
        <v>500</v>
      </c>
      <c r="B109" s="18">
        <f>ROUND($A109*3.82/0.0625,0)</f>
        <v/>
      </c>
      <c r="C109" s="18">
        <f>ROUND($A109*3.82/0.125,0)</f>
        <v/>
      </c>
      <c r="D109" s="18">
        <f>ROUND($A109*3.82/0.1875,0)</f>
        <v/>
      </c>
      <c r="E109" s="18">
        <f>ROUND($A109*3.82/0.25,0)</f>
        <v/>
      </c>
      <c r="F109" s="18">
        <f>ROUND($A109*3.82/0.375,0)</f>
        <v/>
      </c>
      <c r="G109" s="18">
        <f>ROUND($A109*3.82/0.5,0)</f>
        <v/>
      </c>
      <c r="H109" s="18">
        <f>ROUND($A109*3.82/0.75,0)</f>
        <v/>
      </c>
      <c r="I109" s="18">
        <f>ROUND($A109*3.82/1,0)</f>
        <v/>
      </c>
      <c r="J109" s="18">
        <f>ROUND($A109*3.82/1.5,0)</f>
        <v/>
      </c>
      <c r="K109" s="18">
        <f>ROUND($A109*3.82/2,0)</f>
        <v/>
      </c>
      <c r="L109" s="18">
        <f>ROUND($A109*3.82/3,0)</f>
        <v/>
      </c>
      <c r="M109" s="18">
        <f>ROUND($A109*3.82/4,0)</f>
        <v/>
      </c>
      <c r="N109" s="18">
        <f>ROUND($A109*3.82/6,0)</f>
        <v/>
      </c>
    </row>
    <row r="110">
      <c r="A110" s="18" t="n">
        <v>600</v>
      </c>
      <c r="B110" s="18">
        <f>ROUND($A110*3.82/0.0625,0)</f>
        <v/>
      </c>
      <c r="C110" s="18">
        <f>ROUND($A110*3.82/0.125,0)</f>
        <v/>
      </c>
      <c r="D110" s="18">
        <f>ROUND($A110*3.82/0.1875,0)</f>
        <v/>
      </c>
      <c r="E110" s="18">
        <f>ROUND($A110*3.82/0.25,0)</f>
        <v/>
      </c>
      <c r="F110" s="18">
        <f>ROUND($A110*3.82/0.375,0)</f>
        <v/>
      </c>
      <c r="G110" s="18">
        <f>ROUND($A110*3.82/0.5,0)</f>
        <v/>
      </c>
      <c r="H110" s="18">
        <f>ROUND($A110*3.82/0.75,0)</f>
        <v/>
      </c>
      <c r="I110" s="18">
        <f>ROUND($A110*3.82/1,0)</f>
        <v/>
      </c>
      <c r="J110" s="18">
        <f>ROUND($A110*3.82/1.5,0)</f>
        <v/>
      </c>
      <c r="K110" s="18">
        <f>ROUND($A110*3.82/2,0)</f>
        <v/>
      </c>
      <c r="L110" s="18">
        <f>ROUND($A110*3.82/3,0)</f>
        <v/>
      </c>
      <c r="M110" s="18">
        <f>ROUND($A110*3.82/4,0)</f>
        <v/>
      </c>
      <c r="N110" s="18">
        <f>ROUND($A110*3.82/6,0)</f>
        <v/>
      </c>
    </row>
    <row r="111">
      <c r="A111" s="2" t="inlineStr">
        <is>
          <t>RPM = SFM × 3.82 ÷ diameter — live formulas. Find your SFM in section 8, then read across to your cutter or work diameter.</t>
        </is>
      </c>
    </row>
    <row r="113">
      <c r="A113" s="5" t="inlineStr">
        <is>
          <t>10 — REAMING / DRILLING SPEEDS &amp; FEEDS BY MATERIAL — GP FEEDS (IN/REV)</t>
        </is>
      </c>
    </row>
    <row r="114">
      <c r="A114" s="3" t="inlineStr">
        <is>
          <t>Material</t>
        </is>
      </c>
      <c r="B114" s="3" t="inlineStr">
        <is>
          <t>Examples</t>
        </is>
      </c>
      <c r="C114" s="3" t="inlineStr">
        <is>
          <t>Hardness</t>
        </is>
      </c>
      <c r="D114" s="3" t="inlineStr">
        <is>
          <t>Tool</t>
        </is>
      </c>
      <c r="E114" s="3" t="inlineStr">
        <is>
          <t>SFM GP</t>
        </is>
      </c>
      <c r="F114" s="3" t="inlineStr">
        <is>
          <t>SFM CF</t>
        </is>
      </c>
      <c r="G114" s="3" t="inlineStr">
        <is>
          <t>GP 1/8</t>
        </is>
      </c>
      <c r="H114" s="3" t="inlineStr">
        <is>
          <t>GP 1/4</t>
        </is>
      </c>
      <c r="I114" s="3" t="inlineStr">
        <is>
          <t>GP 3/8</t>
        </is>
      </c>
      <c r="J114" s="3" t="inlineStr">
        <is>
          <t>GP 1/2</t>
        </is>
      </c>
      <c r="K114" s="3" t="inlineStr">
        <is>
          <t>GP 5/8</t>
        </is>
      </c>
      <c r="L114" s="3" t="inlineStr">
        <is>
          <t>GP 3/4</t>
        </is>
      </c>
      <c r="M114" s="3" t="inlineStr">
        <is>
          <t>GP 1</t>
        </is>
      </c>
      <c r="N114" s="3" t="inlineStr">
        <is>
          <t>GP 1-1/4</t>
        </is>
      </c>
      <c r="O114" s="3" t="inlineStr">
        <is>
          <t>GP 1-1/2</t>
        </is>
      </c>
    </row>
    <row r="115">
      <c r="A115" t="inlineStr">
        <is>
          <t>ALUMINUM ALLOY</t>
        </is>
      </c>
      <c r="B115" t="inlineStr">
        <is>
          <t>308.0, 356.0, 360.0, 380.0, 383.0, 390.0,</t>
        </is>
      </c>
      <c r="C115" t="inlineStr">
        <is>
          <t>30-150</t>
        </is>
      </c>
      <c r="D115" t="inlineStr">
        <is>
          <t>DRILL</t>
        </is>
      </c>
      <c r="E115" t="inlineStr">
        <is>
          <t>250-350</t>
        </is>
      </c>
      <c r="F115" t="inlineStr">
        <is>
          <t>375-550</t>
        </is>
      </c>
      <c r="G115" s="10" t="n">
        <v>0.003</v>
      </c>
      <c r="H115" s="10" t="n">
        <v>0.005</v>
      </c>
      <c r="I115" s="10" t="n">
        <v>0.007</v>
      </c>
      <c r="J115" s="10" t="n">
        <v>0.008</v>
      </c>
      <c r="K115" s="10" t="n">
        <v>0.01</v>
      </c>
      <c r="L115" s="10" t="n">
        <v>0.011</v>
      </c>
      <c r="M115" s="10" t="n">
        <v>0.014</v>
      </c>
      <c r="N115" s="10" t="n">
        <v>0.017</v>
      </c>
      <c r="O115" s="10" t="n">
        <v>0.019</v>
      </c>
    </row>
    <row r="116">
      <c r="A116" t="inlineStr">
        <is>
          <t>CAST AND WROUGHT</t>
        </is>
      </c>
      <c r="B116" t="inlineStr">
        <is>
          <t>2024, 3003, 4032, 5052, 6061, 7075</t>
        </is>
      </c>
      <c r="C116" t="inlineStr">
        <is>
          <t>(500 kg)</t>
        </is>
      </c>
      <c r="D116" t="inlineStr">
        <is>
          <t>REAM</t>
        </is>
      </c>
      <c r="E116" t="inlineStr">
        <is>
          <t>150-250</t>
        </is>
      </c>
      <c r="F116" t="inlineStr">
        <is>
          <t>200-300</t>
        </is>
      </c>
      <c r="G116" s="10" t="n">
        <v>0.004</v>
      </c>
      <c r="H116" s="10" t="n">
        <v>0.006</v>
      </c>
      <c r="I116" s="10" t="n">
        <v>0.008</v>
      </c>
      <c r="J116" s="10" t="n">
        <v>0.011</v>
      </c>
      <c r="K116" s="10" t="n">
        <v>0.012</v>
      </c>
      <c r="L116" s="10" t="n">
        <v>0.013</v>
      </c>
      <c r="M116" s="10" t="n">
        <v>0.016</v>
      </c>
      <c r="N116" s="10" t="n">
        <v>0.019</v>
      </c>
      <c r="O116" s="10" t="n">
        <v>0.02</v>
      </c>
    </row>
    <row r="117">
      <c r="A117" t="inlineStr">
        <is>
          <t>COPPER ALLOY</t>
        </is>
      </c>
      <c r="B117" t="inlineStr">
        <is>
          <t>101,110, 115 120, 130, 142, 155, 170, 172, 175,</t>
        </is>
      </c>
      <c r="C117" t="inlineStr">
        <is>
          <t>40-200</t>
        </is>
      </c>
      <c r="D117" t="inlineStr">
        <is>
          <t>DRILL</t>
        </is>
      </c>
      <c r="E117" t="inlineStr">
        <is>
          <t>125-190</t>
        </is>
      </c>
      <c r="F117" t="inlineStr">
        <is>
          <t>225-300</t>
        </is>
      </c>
      <c r="G117" s="10" t="n">
        <v>0.002</v>
      </c>
      <c r="H117" s="10" t="n">
        <v>0.005</v>
      </c>
      <c r="I117" s="10" t="n">
        <v>0.007</v>
      </c>
      <c r="J117" s="10" t="n">
        <v>0.008</v>
      </c>
      <c r="K117" s="10" t="n">
        <v>0.008999999999999999</v>
      </c>
      <c r="L117" s="10" t="n">
        <v>0.01</v>
      </c>
      <c r="M117" s="10" t="n">
        <v>0.012</v>
      </c>
      <c r="N117" s="10" t="n">
        <v>0.014</v>
      </c>
      <c r="O117" s="10" t="n">
        <v>0.016</v>
      </c>
    </row>
    <row r="118">
      <c r="A118" t="inlineStr">
        <is>
          <t>TOUGH</t>
        </is>
      </c>
      <c r="B118" t="inlineStr">
        <is>
          <t>195, 425, 610, 630, 655, 725, 805, 826, 910</t>
        </is>
      </c>
      <c r="C118" t="inlineStr">
        <is>
          <t>(500 kg)</t>
        </is>
      </c>
      <c r="D118" t="inlineStr">
        <is>
          <t>REAM</t>
        </is>
      </c>
      <c r="E118" t="inlineStr">
        <is>
          <t>50-90</t>
        </is>
      </c>
      <c r="F118" t="inlineStr">
        <is>
          <t>70-105</t>
        </is>
      </c>
      <c r="G118" s="10" t="n">
        <v>0.005</v>
      </c>
      <c r="H118" s="10" t="n">
        <v>0.006</v>
      </c>
      <c r="I118" s="10" t="n">
        <v>0.008</v>
      </c>
      <c r="J118" s="10" t="n">
        <v>0.01</v>
      </c>
      <c r="K118" s="10" t="n">
        <v>0.011</v>
      </c>
      <c r="L118" s="10" t="n">
        <v>0.012</v>
      </c>
      <c r="M118" s="10" t="n">
        <v>0.014</v>
      </c>
      <c r="N118" s="10" t="n">
        <v>0.016</v>
      </c>
      <c r="O118" s="10" t="n">
        <v>0.017</v>
      </c>
    </row>
    <row r="119">
      <c r="A119" t="inlineStr">
        <is>
          <t>LEAD ALLOY</t>
        </is>
      </c>
      <c r="B119" t="inlineStr">
        <is>
          <t>Alloys 7, 8, 13, 15</t>
        </is>
      </c>
      <c r="C119" t="inlineStr">
        <is>
          <t>2018-10-20 00:00:00</t>
        </is>
      </c>
      <c r="D119" t="inlineStr">
        <is>
          <t>DRILL</t>
        </is>
      </c>
      <c r="E119" t="inlineStr">
        <is>
          <t>350-450</t>
        </is>
      </c>
      <c r="F119" t="inlineStr">
        <is>
          <t>400-500</t>
        </is>
      </c>
      <c r="G119" s="10" t="n">
        <v>0.003</v>
      </c>
      <c r="H119" s="10" t="n">
        <v>0.005</v>
      </c>
      <c r="I119" s="10" t="n">
        <v>0.006</v>
      </c>
      <c r="J119" s="10" t="n">
        <v>0.007</v>
      </c>
      <c r="K119" s="10" t="n">
        <v>0.008</v>
      </c>
      <c r="L119" s="10" t="n">
        <v>0.008999999999999999</v>
      </c>
      <c r="M119" s="10" t="n">
        <v>0.013</v>
      </c>
      <c r="N119" s="10" t="n">
        <v>0.015</v>
      </c>
      <c r="O119" s="10" t="n">
        <v>0.017</v>
      </c>
    </row>
    <row r="120">
      <c r="A120" t="inlineStr">
        <is>
          <t>LEAD ALLOY</t>
        </is>
      </c>
      <c r="B120" t="inlineStr">
        <is>
          <t>lSb, 4Sb, 6Sb, BSb, 9Sb</t>
        </is>
      </c>
      <c r="C120" t="inlineStr">
        <is>
          <t>(500 kg)</t>
        </is>
      </c>
      <c r="D120" t="inlineStr">
        <is>
          <t>REAM</t>
        </is>
      </c>
      <c r="E120" t="inlineStr">
        <is>
          <t>150-250</t>
        </is>
      </c>
      <c r="F120" t="inlineStr">
        <is>
          <t>200-300</t>
        </is>
      </c>
      <c r="G120" s="10" t="n">
        <v>0.002</v>
      </c>
      <c r="H120" s="10" t="n">
        <v>0.006</v>
      </c>
      <c r="I120" s="10" t="n">
        <v>0.008</v>
      </c>
      <c r="J120" s="10" t="n">
        <v>0.012</v>
      </c>
      <c r="K120" s="10" t="n">
        <v>0.014</v>
      </c>
      <c r="L120" s="10" t="n">
        <v>0.015</v>
      </c>
      <c r="M120" s="10" t="n">
        <v>0.018</v>
      </c>
      <c r="N120" s="10" t="n">
        <v>0.021</v>
      </c>
      <c r="O120" s="10" t="n">
        <v>0.022</v>
      </c>
    </row>
    <row r="121">
      <c r="A121" t="inlineStr">
        <is>
          <t>PLASTIC</t>
        </is>
      </c>
      <c r="B121" t="inlineStr">
        <is>
          <t>ABS, Acrylic, Allyl, Bakelite, Epoxy, Furan,</t>
        </is>
      </c>
      <c r="C121" t="inlineStr">
        <is>
          <t>-</t>
        </is>
      </c>
      <c r="D121" t="inlineStr">
        <is>
          <t>DRILL</t>
        </is>
      </c>
      <c r="E121" t="inlineStr">
        <is>
          <t>175-450</t>
        </is>
      </c>
      <c r="F121" t="inlineStr">
        <is>
          <t>-</t>
        </is>
      </c>
      <c r="G121" s="10" t="n">
        <v>0.002</v>
      </c>
      <c r="H121" s="10" t="n">
        <v>0.004</v>
      </c>
      <c r="I121" s="10" t="n">
        <v>0.005</v>
      </c>
      <c r="J121" s="10" t="n">
        <v>0.005</v>
      </c>
      <c r="K121" s="10" t="n">
        <v>0.006</v>
      </c>
      <c r="L121" s="10" t="n">
        <v>0.008</v>
      </c>
      <c r="M121" s="10" t="n">
        <v>0.008999999999999999</v>
      </c>
      <c r="N121" s="10" t="n">
        <v>0.01</v>
      </c>
      <c r="O121" s="10" t="n">
        <v>0.012</v>
      </c>
    </row>
    <row r="122">
      <c r="A122" t="inlineStr">
        <is>
          <t>PLASTIC</t>
        </is>
      </c>
      <c r="B122" t="inlineStr">
        <is>
          <t>Nylon, Polyethylene, Polystyrene, PVC</t>
        </is>
      </c>
      <c r="C122" t="inlineStr">
        <is>
          <t>None</t>
        </is>
      </c>
      <c r="D122" t="inlineStr">
        <is>
          <t>REAM</t>
        </is>
      </c>
      <c r="E122" t="inlineStr">
        <is>
          <t>90-250</t>
        </is>
      </c>
      <c r="F122" t="inlineStr">
        <is>
          <t>125-300</t>
        </is>
      </c>
      <c r="G122" s="10" t="n">
        <v>0.004</v>
      </c>
      <c r="H122" s="10" t="n">
        <v>0.005</v>
      </c>
      <c r="I122" s="10" t="n">
        <v>0.007</v>
      </c>
      <c r="J122" s="10" t="n">
        <v>0.008</v>
      </c>
      <c r="K122" s="10" t="n">
        <v>0.008999999999999999</v>
      </c>
      <c r="L122" s="10" t="n">
        <v>0.012</v>
      </c>
      <c r="M122" s="10" t="n">
        <v>0.014</v>
      </c>
      <c r="N122" s="10" t="n">
        <v>0.016</v>
      </c>
      <c r="O122" s="10" t="n">
        <v>0.018</v>
      </c>
    </row>
    <row r="123">
      <c r="A123" t="inlineStr">
        <is>
          <t>ZINC ALLOY</t>
        </is>
      </c>
      <c r="B123" t="inlineStr">
        <is>
          <t>AC41 A, AG40A, AMS4803,11 7RO 12,</t>
        </is>
      </c>
      <c r="C123" t="inlineStr">
        <is>
          <t>80-100</t>
        </is>
      </c>
      <c r="D123" t="inlineStr">
        <is>
          <t>DRILL</t>
        </is>
      </c>
      <c r="E123" t="inlineStr">
        <is>
          <t>300-400</t>
        </is>
      </c>
      <c r="F123" t="inlineStr">
        <is>
          <t>400-500</t>
        </is>
      </c>
      <c r="G123" s="10" t="n">
        <v>0.003</v>
      </c>
      <c r="H123" s="10" t="n">
        <v>0.005</v>
      </c>
      <c r="I123" s="10" t="n">
        <v>0.007</v>
      </c>
      <c r="J123" s="10" t="n">
        <v>0.008999999999999999</v>
      </c>
      <c r="K123" s="10" t="n">
        <v>0.011</v>
      </c>
      <c r="L123" s="10" t="n">
        <v>0.012</v>
      </c>
      <c r="M123" s="10" t="n">
        <v>0.014</v>
      </c>
      <c r="N123" s="10" t="n">
        <v>0.016</v>
      </c>
      <c r="O123" s="10" t="n">
        <v>0.018</v>
      </c>
    </row>
    <row r="124">
      <c r="A124" t="inlineStr">
        <is>
          <t>ZINC ALLOY</t>
        </is>
      </c>
      <c r="B124" t="inlineStr">
        <is>
          <t>ZDC NO. 7, GRADES 903,925</t>
        </is>
      </c>
      <c r="C124" t="inlineStr">
        <is>
          <t>None</t>
        </is>
      </c>
      <c r="D124" t="inlineStr">
        <is>
          <t>REAM</t>
        </is>
      </c>
      <c r="E124" t="inlineStr">
        <is>
          <t>140-210</t>
        </is>
      </c>
      <c r="F124" t="inlineStr">
        <is>
          <t>170-240</t>
        </is>
      </c>
      <c r="G124" s="10" t="n">
        <v>0.005</v>
      </c>
      <c r="H124" s="10" t="n">
        <v>0.007</v>
      </c>
      <c r="I124" s="10" t="n">
        <v>0.008</v>
      </c>
      <c r="J124" s="10" t="n">
        <v>0.01</v>
      </c>
      <c r="K124" s="10" t="n">
        <v>0.011</v>
      </c>
      <c r="L124" s="10" t="n">
        <v>0.012</v>
      </c>
      <c r="M124" s="10" t="n">
        <v>0.015</v>
      </c>
      <c r="N124" s="10" t="n">
        <v>0.018</v>
      </c>
      <c r="O124" s="10" t="n">
        <v>0.02</v>
      </c>
    </row>
    <row r="125">
      <c r="A125" t="inlineStr">
        <is>
          <t>ALUMINUM BRONZE</t>
        </is>
      </c>
      <c r="B125" t="inlineStr">
        <is>
          <t>614, 952-958</t>
        </is>
      </c>
      <c r="C125" t="inlineStr">
        <is>
          <t>40-175</t>
        </is>
      </c>
      <c r="D125" t="inlineStr">
        <is>
          <t>DRILL</t>
        </is>
      </c>
      <c r="E125" t="inlineStr">
        <is>
          <t>125-190</t>
        </is>
      </c>
      <c r="F125" t="inlineStr">
        <is>
          <t>200-300</t>
        </is>
      </c>
      <c r="G125" s="10" t="n">
        <v>0.002</v>
      </c>
      <c r="H125" s="10" t="n">
        <v>0.005</v>
      </c>
      <c r="I125" s="10" t="n">
        <v>0.007</v>
      </c>
      <c r="J125" s="10" t="n">
        <v>0.008</v>
      </c>
      <c r="K125" s="10" t="n">
        <v>0.008999999999999999</v>
      </c>
      <c r="L125" s="10" t="n">
        <v>0.01</v>
      </c>
      <c r="M125" s="10" t="n">
        <v>0.012</v>
      </c>
      <c r="N125" s="10" t="n">
        <v>0.014</v>
      </c>
      <c r="O125" s="10" t="n">
        <v>0.016</v>
      </c>
    </row>
    <row r="126">
      <c r="A126" t="inlineStr">
        <is>
          <t>ALUMINUM BRONZE</t>
        </is>
      </c>
      <c r="C126" t="inlineStr">
        <is>
          <t>None</t>
        </is>
      </c>
      <c r="D126" t="inlineStr">
        <is>
          <t>REAM</t>
        </is>
      </c>
      <c r="E126" t="inlineStr">
        <is>
          <t>50-90</t>
        </is>
      </c>
      <c r="F126" t="inlineStr">
        <is>
          <t>70-105</t>
        </is>
      </c>
      <c r="G126" s="10" t="n">
        <v>0.004</v>
      </c>
      <c r="H126" s="10" t="n">
        <v>0.006</v>
      </c>
      <c r="I126" s="10" t="n">
        <v>0.01</v>
      </c>
      <c r="J126" s="10" t="n">
        <v>0.012</v>
      </c>
      <c r="K126" s="10" t="n">
        <v>0.014</v>
      </c>
      <c r="L126" s="10" t="n">
        <v>0.016</v>
      </c>
      <c r="M126" s="10" t="n">
        <v>0.018</v>
      </c>
      <c r="N126" s="10" t="n">
        <v>0.02</v>
      </c>
      <c r="O126" s="10" t="n">
        <v>0.022</v>
      </c>
    </row>
    <row r="127">
      <c r="A127" t="inlineStr">
        <is>
          <t>COPPER ALLOY / BRASS / BRONZE</t>
        </is>
      </c>
      <c r="B127" t="inlineStr">
        <is>
          <t>268, 270, 314, 332, 335, 340, 342, 353</t>
        </is>
      </c>
      <c r="C127" t="inlineStr">
        <is>
          <t>10-100 Rb</t>
        </is>
      </c>
      <c r="D127" t="inlineStr">
        <is>
          <t>DRILL</t>
        </is>
      </c>
      <c r="E127" t="inlineStr">
        <is>
          <t>225-400</t>
        </is>
      </c>
      <c r="F127" t="n">
        <v>300.45</v>
      </c>
      <c r="G127" s="10" t="n">
        <v>0.003</v>
      </c>
      <c r="H127" s="10" t="n">
        <v>0.005</v>
      </c>
      <c r="I127" s="10" t="n">
        <v>0.007</v>
      </c>
      <c r="J127" s="10" t="n">
        <v>0.008</v>
      </c>
      <c r="K127" s="10" t="n">
        <v>0.008999999999999999</v>
      </c>
      <c r="L127" s="10" t="n">
        <v>0.01</v>
      </c>
      <c r="M127" s="10" t="n">
        <v>0.012</v>
      </c>
      <c r="N127" s="10" t="n">
        <v>0.014</v>
      </c>
      <c r="O127" s="10" t="n">
        <v>0.016</v>
      </c>
    </row>
    <row r="128">
      <c r="A128" t="inlineStr">
        <is>
          <t>FREE MACHINING</t>
        </is>
      </c>
      <c r="B128" t="inlineStr">
        <is>
          <t>356, 360, 370, 464-467, 485, 838, 945</t>
        </is>
      </c>
      <c r="C128" t="inlineStr">
        <is>
          <t>None</t>
        </is>
      </c>
      <c r="D128" t="inlineStr">
        <is>
          <t>REAM</t>
        </is>
      </c>
      <c r="E128" t="inlineStr">
        <is>
          <t>100-250</t>
        </is>
      </c>
      <c r="F128" t="inlineStr">
        <is>
          <t>125-300</t>
        </is>
      </c>
      <c r="G128" s="10" t="n">
        <v>0.005</v>
      </c>
      <c r="H128" s="10" t="n">
        <v>0.008</v>
      </c>
      <c r="I128" s="10" t="n">
        <v>0.011</v>
      </c>
      <c r="J128" s="10" t="n">
        <v>0.015</v>
      </c>
      <c r="K128" s="10" t="n">
        <v>0.017</v>
      </c>
      <c r="L128" s="10" t="n">
        <v>0.018</v>
      </c>
      <c r="M128" s="10" t="n">
        <v>0.02</v>
      </c>
      <c r="N128" s="10" t="n">
        <v>0.022</v>
      </c>
      <c r="O128" s="10" t="n">
        <v>0.025</v>
      </c>
    </row>
    <row r="129">
      <c r="A129" t="inlineStr">
        <is>
          <t>MAGNESIUM ALLOY</t>
        </is>
      </c>
      <c r="B129" t="inlineStr">
        <is>
          <t>AM60A, AZ21A, AZ91B-C,</t>
        </is>
      </c>
      <c r="C129" t="inlineStr">
        <is>
          <t>50-90</t>
        </is>
      </c>
      <c r="D129" t="inlineStr">
        <is>
          <t>DRILL</t>
        </is>
      </c>
      <c r="E129" t="inlineStr">
        <is>
          <t>300-400</t>
        </is>
      </c>
      <c r="F129" t="inlineStr">
        <is>
          <t>450-550</t>
        </is>
      </c>
      <c r="G129" s="10" t="n">
        <v>0.003</v>
      </c>
      <c r="H129" s="10" t="n">
        <v>0.005</v>
      </c>
      <c r="I129" s="10" t="n">
        <v>0.006</v>
      </c>
      <c r="J129" s="10" t="n">
        <v>0.007</v>
      </c>
      <c r="K129" s="10" t="n">
        <v>0.008</v>
      </c>
      <c r="L129" s="10" t="n">
        <v>0.008999999999999999</v>
      </c>
      <c r="M129" s="10" t="n">
        <v>0.013</v>
      </c>
      <c r="N129" s="10" t="n">
        <v>0.015</v>
      </c>
      <c r="O129" s="10" t="n">
        <v>0.016</v>
      </c>
    </row>
    <row r="130">
      <c r="A130" t="inlineStr">
        <is>
          <t>MAGNESIUM ALLOY</t>
        </is>
      </c>
      <c r="B130" t="inlineStr">
        <is>
          <t>HM31A, K1A, ZE41A, ZK40A</t>
        </is>
      </c>
      <c r="C130" t="inlineStr">
        <is>
          <t>(500 kg)</t>
        </is>
      </c>
      <c r="D130" t="inlineStr">
        <is>
          <t>REAM</t>
        </is>
      </c>
      <c r="E130" t="inlineStr">
        <is>
          <t>130-190</t>
        </is>
      </c>
      <c r="F130" t="inlineStr">
        <is>
          <t>150-250</t>
        </is>
      </c>
      <c r="G130" s="10" t="n">
        <v>0.005</v>
      </c>
      <c r="H130" s="10" t="n">
        <v>0.01</v>
      </c>
      <c r="I130" s="10" t="n">
        <v>0.012</v>
      </c>
      <c r="J130" s="10" t="n">
        <v>0.015</v>
      </c>
      <c r="K130" s="10" t="n">
        <v>0.016</v>
      </c>
      <c r="L130" s="10" t="n">
        <v>0.017</v>
      </c>
      <c r="M130" s="10" t="n">
        <v>0.02</v>
      </c>
      <c r="N130" s="10" t="n">
        <v>0.022</v>
      </c>
      <c r="O130" s="10" t="n">
        <v>0.025</v>
      </c>
    </row>
    <row r="131">
      <c r="A131" t="inlineStr">
        <is>
          <t>NICKEL SILVER</t>
        </is>
      </c>
      <c r="B131" t="inlineStr">
        <is>
          <t>745, 752, 754, 757, 770, 973-978</t>
        </is>
      </c>
      <c r="C131" t="inlineStr">
        <is>
          <t>10-100 Rb</t>
        </is>
      </c>
      <c r="D131" t="inlineStr">
        <is>
          <t>DRILL</t>
        </is>
      </c>
      <c r="E131" t="inlineStr">
        <is>
          <t>125-190</t>
        </is>
      </c>
      <c r="F131" t="inlineStr">
        <is>
          <t>225-300</t>
        </is>
      </c>
      <c r="G131" s="10" t="n">
        <v>0.002</v>
      </c>
      <c r="H131" s="10" t="n">
        <v>0.005</v>
      </c>
      <c r="I131" s="10" t="n">
        <v>0.007</v>
      </c>
      <c r="J131" s="10" t="n">
        <v>0.008</v>
      </c>
      <c r="K131" s="10" t="n">
        <v>0.008999999999999999</v>
      </c>
      <c r="L131" s="10" t="n">
        <v>0.01</v>
      </c>
      <c r="M131" s="10" t="n">
        <v>0.012</v>
      </c>
      <c r="N131" s="10" t="n">
        <v>0.014</v>
      </c>
      <c r="O131" s="10" t="n">
        <v>0.016</v>
      </c>
    </row>
    <row r="132">
      <c r="A132" t="inlineStr">
        <is>
          <t>NICKEL SILVER</t>
        </is>
      </c>
      <c r="C132" t="inlineStr">
        <is>
          <t>None</t>
        </is>
      </c>
      <c r="D132" t="inlineStr">
        <is>
          <t>REAM</t>
        </is>
      </c>
      <c r="E132" t="inlineStr">
        <is>
          <t>50-90</t>
        </is>
      </c>
      <c r="F132" t="inlineStr">
        <is>
          <t>70-105</t>
        </is>
      </c>
      <c r="G132" s="10" t="n">
        <v>0.005</v>
      </c>
      <c r="H132" s="10" t="n">
        <v>0.006</v>
      </c>
      <c r="I132" s="10" t="n">
        <v>0.008</v>
      </c>
      <c r="J132" s="10" t="n">
        <v>0.01</v>
      </c>
      <c r="K132" s="10" t="n">
        <v>0.011</v>
      </c>
      <c r="L132" s="10" t="n">
        <v>0.012</v>
      </c>
      <c r="M132" s="10" t="n">
        <v>0.014</v>
      </c>
      <c r="N132" s="10" t="n">
        <v>0.016</v>
      </c>
      <c r="O132" s="10" t="n">
        <v>0.017</v>
      </c>
    </row>
    <row r="133">
      <c r="A133" t="inlineStr">
        <is>
          <t>CAST IRON-DUCTILE</t>
        </is>
      </c>
      <c r="B133" t="inlineStr">
        <is>
          <t>TYPES D-2, D-2B, D-2C, D-2M,</t>
        </is>
      </c>
      <c r="C133" t="inlineStr">
        <is>
          <t>120-275</t>
        </is>
      </c>
      <c r="D133" t="inlineStr">
        <is>
          <t>DRILL</t>
        </is>
      </c>
      <c r="E133" t="inlineStr">
        <is>
          <t>-</t>
        </is>
      </c>
      <c r="F133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</row>
    <row r="134">
      <c r="A134" t="inlineStr">
        <is>
          <t>AUSTENITIC (NI-RESIST)</t>
        </is>
      </c>
      <c r="B134" t="inlineStr">
        <is>
          <t>D-3, D-3A, D-4, D-5, D-5B</t>
        </is>
      </c>
      <c r="C134" t="inlineStr">
        <is>
          <t>None</t>
        </is>
      </c>
      <c r="D134" t="inlineStr">
        <is>
          <t>REAM</t>
        </is>
      </c>
      <c r="E134" t="inlineStr">
        <is>
          <t>45-70</t>
        </is>
      </c>
      <c r="F134" t="inlineStr">
        <is>
          <t>65-100</t>
        </is>
      </c>
      <c r="G134" s="10" t="n">
        <v>0.004</v>
      </c>
      <c r="H134" s="10" t="n">
        <v>0.006</v>
      </c>
      <c r="I134" s="10" t="n">
        <v>0.007</v>
      </c>
      <c r="J134" s="10" t="n">
        <v>0.008</v>
      </c>
      <c r="K134" s="10" t="n">
        <v>0.01</v>
      </c>
      <c r="L134" s="10" t="n">
        <v>0.013</v>
      </c>
      <c r="M134" s="10" t="n">
        <v>0.015</v>
      </c>
      <c r="N134" s="10" t="n">
        <v>0.018</v>
      </c>
      <c r="O134" s="10" t="n">
        <v>0.02</v>
      </c>
    </row>
    <row r="135">
      <c r="A135" t="inlineStr">
        <is>
          <t>CAST IRON-DUCTILE</t>
        </is>
      </c>
      <c r="B135" t="inlineStr">
        <is>
          <t>GRADES 60-40-18, 65-45-12, 80-55-06,</t>
        </is>
      </c>
      <c r="C135" t="inlineStr">
        <is>
          <t>140-270</t>
        </is>
      </c>
      <c r="D135" t="inlineStr">
        <is>
          <t>DRILL</t>
        </is>
      </c>
      <c r="E135" t="inlineStr">
        <is>
          <t>150-225</t>
        </is>
      </c>
      <c r="F135" t="inlineStr">
        <is>
          <t>200-250</t>
        </is>
      </c>
      <c r="G135" s="10" t="n">
        <v>0.002</v>
      </c>
      <c r="H135" s="10" t="n">
        <v>0.004</v>
      </c>
      <c r="I135" s="10" t="n">
        <v>0.006</v>
      </c>
      <c r="J135" s="10" t="n">
        <v>0.008</v>
      </c>
      <c r="K135" s="10" t="n">
        <v>0.01</v>
      </c>
      <c r="L135" s="10" t="n">
        <v>0.012</v>
      </c>
      <c r="M135" s="10" t="n">
        <v>0.014</v>
      </c>
      <c r="N135" s="10" t="n">
        <v>0.016</v>
      </c>
      <c r="O135" s="10" t="n">
        <v>0.018</v>
      </c>
    </row>
    <row r="136">
      <c r="A136" t="inlineStr">
        <is>
          <t>FERRITIC &amp; FERRITIC-PEARLITIC</t>
        </is>
      </c>
      <c r="B136" t="inlineStr">
        <is>
          <t>D4018, D4512, D5506</t>
        </is>
      </c>
      <c r="C136" t="inlineStr">
        <is>
          <t>None</t>
        </is>
      </c>
      <c r="D136" t="inlineStr">
        <is>
          <t>REAM</t>
        </is>
      </c>
      <c r="E136" t="inlineStr">
        <is>
          <t>50-90</t>
        </is>
      </c>
      <c r="F136" t="inlineStr">
        <is>
          <t>70-105</t>
        </is>
      </c>
      <c r="G136" s="10" t="n">
        <v>0.004</v>
      </c>
      <c r="H136" s="10" t="n">
        <v>0.005</v>
      </c>
      <c r="I136" s="10" t="n">
        <v>0.008</v>
      </c>
      <c r="J136" s="10" t="n">
        <v>0.01</v>
      </c>
      <c r="K136" s="10" t="n">
        <v>0.012</v>
      </c>
      <c r="L136" s="10" t="n">
        <v>0.014</v>
      </c>
      <c r="M136" s="10" t="n">
        <v>0.017</v>
      </c>
      <c r="N136" s="10" t="n">
        <v>0.02</v>
      </c>
      <c r="O136" s="10" t="n">
        <v>0.023</v>
      </c>
    </row>
    <row r="137">
      <c r="A137" t="inlineStr">
        <is>
          <t>CAST IRON-DUCTILE</t>
        </is>
      </c>
      <c r="B137" t="inlineStr">
        <is>
          <t>GRADES 100-70-03, 120-90-02,</t>
        </is>
      </c>
      <c r="C137" t="inlineStr">
        <is>
          <t>270-400</t>
        </is>
      </c>
      <c r="D137" t="inlineStr">
        <is>
          <t>DRILL</t>
        </is>
      </c>
      <c r="E137" t="inlineStr">
        <is>
          <t>-</t>
        </is>
      </c>
      <c r="F137" t="inlineStr">
        <is>
          <t>200-250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-</t>
        </is>
      </c>
      <c r="N137" s="10" t="inlineStr">
        <is>
          <t>-</t>
        </is>
      </c>
      <c r="O137" s="10" t="inlineStr">
        <is>
          <t>-</t>
        </is>
      </c>
    </row>
    <row r="138">
      <c r="A138" t="inlineStr">
        <is>
          <t>MARTENSITIC &amp; PEARLITIC-MARTENSITIC</t>
        </is>
      </c>
      <c r="B138" t="inlineStr">
        <is>
          <t>D7003, DQ&amp;T</t>
        </is>
      </c>
      <c r="C138" t="inlineStr">
        <is>
          <t>None</t>
        </is>
      </c>
      <c r="D138" t="inlineStr">
        <is>
          <t>REAM</t>
        </is>
      </c>
      <c r="E138" t="inlineStr">
        <is>
          <t>35-60</t>
        </is>
      </c>
      <c r="F138" t="inlineStr">
        <is>
          <t>50-85</t>
        </is>
      </c>
      <c r="G138" s="10" t="n">
        <v>0.004</v>
      </c>
      <c r="H138" s="10" t="n">
        <v>0.006</v>
      </c>
      <c r="I138" s="10" t="n">
        <v>0.007</v>
      </c>
      <c r="J138" s="10" t="n">
        <v>0.008</v>
      </c>
      <c r="K138" s="10" t="n">
        <v>0.008999999999999999</v>
      </c>
      <c r="L138" s="10" t="n">
        <v>0.01</v>
      </c>
      <c r="M138" s="10" t="n">
        <v>0.012</v>
      </c>
      <c r="N138" s="10" t="n">
        <v>0.014</v>
      </c>
      <c r="O138" s="10" t="n">
        <v>0.016</v>
      </c>
    </row>
    <row r="139">
      <c r="A139" t="inlineStr">
        <is>
          <t>CAST IRON-GRAY</t>
        </is>
      </c>
      <c r="B139" t="inlineStr">
        <is>
          <t>CLASSES 20, 25, 30, 35, 40</t>
        </is>
      </c>
      <c r="C139" t="inlineStr">
        <is>
          <t>120-220</t>
        </is>
      </c>
      <c r="D139" t="inlineStr">
        <is>
          <t>DRILL</t>
        </is>
      </c>
      <c r="E139" t="inlineStr">
        <is>
          <t>175-300</t>
        </is>
      </c>
      <c r="F139" t="inlineStr">
        <is>
          <t>240-400</t>
        </is>
      </c>
      <c r="G139" s="10" t="n">
        <v>0.002</v>
      </c>
      <c r="H139" s="10" t="n">
        <v>0.005</v>
      </c>
      <c r="I139" s="10" t="n">
        <v>0.007</v>
      </c>
      <c r="J139" s="10" t="n">
        <v>0.008999999999999999</v>
      </c>
      <c r="K139" s="10" t="n">
        <v>0.01</v>
      </c>
      <c r="L139" s="10" t="n">
        <v>0.014</v>
      </c>
      <c r="M139" s="10" t="n">
        <v>0.017</v>
      </c>
      <c r="N139" s="10" t="n">
        <v>0.018</v>
      </c>
      <c r="O139" s="10" t="n">
        <v>0.019</v>
      </c>
    </row>
    <row r="140">
      <c r="A140" t="inlineStr">
        <is>
          <t>FERRITIC &amp; FERRITIC-PEARLITIC</t>
        </is>
      </c>
      <c r="B140" t="inlineStr">
        <is>
          <t>GRADES G1800, G2500, G3000</t>
        </is>
      </c>
      <c r="C140" t="inlineStr">
        <is>
          <t>None</t>
        </is>
      </c>
      <c r="D140" t="inlineStr">
        <is>
          <t>REAM</t>
        </is>
      </c>
      <c r="E140" t="inlineStr">
        <is>
          <t>65-135</t>
        </is>
      </c>
      <c r="F140" t="inlineStr">
        <is>
          <t>95-190</t>
        </is>
      </c>
      <c r="G140" s="10" t="n">
        <v>0.005</v>
      </c>
      <c r="H140" s="10" t="n">
        <v>0.008</v>
      </c>
      <c r="I140" s="10" t="n">
        <v>0.01</v>
      </c>
      <c r="J140" s="10" t="n">
        <v>0.011</v>
      </c>
      <c r="K140" s="10" t="n">
        <v>0.013</v>
      </c>
      <c r="L140" s="10" t="n">
        <v>0.016</v>
      </c>
      <c r="M140" s="10" t="n">
        <v>0.02</v>
      </c>
      <c r="N140" s="10" t="n">
        <v>0.022</v>
      </c>
      <c r="O140" s="10" t="n">
        <v>0.025</v>
      </c>
    </row>
    <row r="141">
      <c r="A141" t="inlineStr">
        <is>
          <t>CAST IRON-GRAY</t>
        </is>
      </c>
      <c r="B141" t="inlineStr">
        <is>
          <t>CLASSES 45, 50, 55, 60</t>
        </is>
      </c>
      <c r="C141" t="inlineStr">
        <is>
          <t>220-320</t>
        </is>
      </c>
      <c r="D141" t="inlineStr">
        <is>
          <t>DRILL</t>
        </is>
      </c>
      <c r="E141" t="inlineStr">
        <is>
          <t>130-225</t>
        </is>
      </c>
      <c r="F141" t="inlineStr">
        <is>
          <t>225-325</t>
        </is>
      </c>
      <c r="G141" s="10" t="n">
        <v>0.002</v>
      </c>
      <c r="H141" s="10" t="n">
        <v>0.004</v>
      </c>
      <c r="I141" s="10" t="n">
        <v>0.006</v>
      </c>
      <c r="J141" s="10" t="n">
        <v>0.007</v>
      </c>
      <c r="K141" s="10" t="n">
        <v>0.008999999999999999</v>
      </c>
      <c r="L141" s="10" t="n">
        <v>0.01</v>
      </c>
      <c r="M141" s="10" t="n">
        <v>0.013</v>
      </c>
      <c r="N141" s="10" t="n">
        <v>0.016</v>
      </c>
      <c r="O141" s="10" t="n">
        <v>0.018</v>
      </c>
    </row>
    <row r="142">
      <c r="A142" t="inlineStr">
        <is>
          <t>PEARLITIC</t>
        </is>
      </c>
      <c r="B142" t="inlineStr">
        <is>
          <t>GRADES G3500, G4000</t>
        </is>
      </c>
      <c r="C142" t="inlineStr">
        <is>
          <t>None</t>
        </is>
      </c>
      <c r="D142" t="inlineStr">
        <is>
          <t>REAM</t>
        </is>
      </c>
      <c r="E142" t="inlineStr">
        <is>
          <t>45-70</t>
        </is>
      </c>
      <c r="F142" t="inlineStr">
        <is>
          <t>55-100</t>
        </is>
      </c>
      <c r="G142" s="10" t="n">
        <v>0.004</v>
      </c>
      <c r="H142" s="10" t="n">
        <v>0.006</v>
      </c>
      <c r="I142" s="10" t="n">
        <v>0.008</v>
      </c>
      <c r="J142" s="10" t="n">
        <v>0.008999999999999999</v>
      </c>
      <c r="K142" s="10" t="n">
        <v>0.01</v>
      </c>
      <c r="L142" s="10" t="n">
        <v>0.012</v>
      </c>
      <c r="M142" s="10" t="n">
        <v>0.014</v>
      </c>
      <c r="N142" s="10" t="n">
        <v>0.018</v>
      </c>
      <c r="O142" s="10" t="n">
        <v>0.02</v>
      </c>
    </row>
    <row r="143">
      <c r="A143" t="inlineStr">
        <is>
          <t>CAST IRON-MALLEABLE</t>
        </is>
      </c>
      <c r="B143" t="inlineStr">
        <is>
          <t>GRADES 32510, 35018, 40010, 45008</t>
        </is>
      </c>
      <c r="C143" t="inlineStr">
        <is>
          <t>110-240</t>
        </is>
      </c>
      <c r="D143" t="inlineStr">
        <is>
          <t>DRILL</t>
        </is>
      </c>
      <c r="E143" t="inlineStr">
        <is>
          <t>125-190</t>
        </is>
      </c>
      <c r="F143" t="inlineStr">
        <is>
          <t>200-250</t>
        </is>
      </c>
      <c r="G143" s="10" t="n">
        <v>0.002</v>
      </c>
      <c r="H143" s="10" t="n">
        <v>0.005</v>
      </c>
      <c r="I143" s="10" t="n">
        <v>0.008</v>
      </c>
      <c r="J143" s="10" t="n">
        <v>0.008999999999999999</v>
      </c>
      <c r="K143" s="10" t="n">
        <v>0.01</v>
      </c>
      <c r="L143" s="10" t="n">
        <v>0.011</v>
      </c>
      <c r="M143" s="10" t="n">
        <v>0.012</v>
      </c>
      <c r="N143" s="10" t="n">
        <v>0.014</v>
      </c>
      <c r="O143" s="10" t="n">
        <v>0.016</v>
      </c>
    </row>
    <row r="144">
      <c r="A144" t="inlineStr">
        <is>
          <t>FERRITIC &amp; PEARLITIC</t>
        </is>
      </c>
      <c r="B144" t="inlineStr">
        <is>
          <t>GRADES M3210, M4504, M5003</t>
        </is>
      </c>
      <c r="C144" t="inlineStr">
        <is>
          <t>None</t>
        </is>
      </c>
      <c r="D144" t="inlineStr">
        <is>
          <t>REAM</t>
        </is>
      </c>
      <c r="E144" t="inlineStr">
        <is>
          <t>60-120</t>
        </is>
      </c>
      <c r="F144" t="inlineStr">
        <is>
          <t>70-105</t>
        </is>
      </c>
      <c r="G144" s="10" t="n">
        <v>0.004</v>
      </c>
      <c r="H144" s="10" t="n">
        <v>0.006</v>
      </c>
      <c r="I144" s="10" t="n">
        <v>0.01</v>
      </c>
      <c r="J144" s="10" t="n">
        <v>0.011</v>
      </c>
      <c r="K144" s="10" t="n">
        <v>0.012</v>
      </c>
      <c r="L144" s="10" t="n">
        <v>0.013</v>
      </c>
      <c r="M144" s="10" t="n">
        <v>0.014</v>
      </c>
      <c r="N144" s="10" t="n">
        <v>0.016</v>
      </c>
      <c r="O144" s="10" t="n">
        <v>0.018</v>
      </c>
    </row>
    <row r="145">
      <c r="A145" t="inlineStr">
        <is>
          <t>CAST IRON-MALLEABLE</t>
        </is>
      </c>
      <c r="B145" t="inlineStr">
        <is>
          <t>GRADES 60004, 70003, 80002</t>
        </is>
      </c>
      <c r="C145" t="inlineStr">
        <is>
          <t>200-320</t>
        </is>
      </c>
      <c r="D145" t="inlineStr">
        <is>
          <t>DRILL</t>
        </is>
      </c>
      <c r="E145" t="inlineStr">
        <is>
          <t>100-150</t>
        </is>
      </c>
      <c r="F145" t="inlineStr">
        <is>
          <t>200-250</t>
        </is>
      </c>
      <c r="G145" s="10" t="n">
        <v>0.002</v>
      </c>
      <c r="H145" s="10" t="n">
        <v>0.004</v>
      </c>
      <c r="I145" s="10" t="n">
        <v>0.006</v>
      </c>
      <c r="J145" s="10" t="n">
        <v>0.007</v>
      </c>
      <c r="K145" s="10" t="n">
        <v>0.008</v>
      </c>
      <c r="L145" s="10" t="n">
        <v>0.01</v>
      </c>
      <c r="M145" s="10" t="n">
        <v>0.012</v>
      </c>
      <c r="N145" s="10" t="n">
        <v>0.014</v>
      </c>
      <c r="O145" s="10" t="n">
        <v>0.016</v>
      </c>
    </row>
    <row r="146">
      <c r="A146" t="inlineStr">
        <is>
          <t>TEMPERED MARTENSITE</t>
        </is>
      </c>
      <c r="B146" t="inlineStr">
        <is>
          <t>GRADES M5003, M8501</t>
        </is>
      </c>
      <c r="C146" t="inlineStr">
        <is>
          <t>None</t>
        </is>
      </c>
      <c r="D146" t="inlineStr">
        <is>
          <t>REAM</t>
        </is>
      </c>
      <c r="E146" t="inlineStr">
        <is>
          <t>45-70</t>
        </is>
      </c>
      <c r="F146" t="inlineStr">
        <is>
          <t>65-100</t>
        </is>
      </c>
      <c r="G146" s="10" t="n">
        <v>0.004</v>
      </c>
      <c r="H146" s="10" t="n">
        <v>0.006</v>
      </c>
      <c r="I146" s="10" t="n">
        <v>0.008</v>
      </c>
      <c r="J146" s="10" t="n">
        <v>0.01</v>
      </c>
      <c r="K146" s="10" t="n">
        <v>0.012</v>
      </c>
      <c r="L146" s="10" t="n">
        <v>0.013</v>
      </c>
      <c r="M146" s="10" t="n">
        <v>0.015</v>
      </c>
      <c r="N146" s="10" t="n">
        <v>0.018</v>
      </c>
      <c r="O146" s="10" t="n">
        <v>0.025</v>
      </c>
    </row>
    <row r="147">
      <c r="A147" t="inlineStr">
        <is>
          <t>STEEL-LOW &amp; MEDIUM STRENGTH</t>
        </is>
      </c>
      <c r="B147" t="inlineStr">
        <is>
          <t>1108-1119, 1132-1151, 10LI 7, 10L18,</t>
        </is>
      </c>
      <c r="C147" t="inlineStr">
        <is>
          <t>100-250</t>
        </is>
      </c>
      <c r="D147" t="inlineStr">
        <is>
          <t>DRILL</t>
        </is>
      </c>
      <c r="E147" t="inlineStr">
        <is>
          <t>125-175</t>
        </is>
      </c>
      <c r="F147" t="inlineStr">
        <is>
          <t>150-250</t>
        </is>
      </c>
      <c r="G147" s="10" t="n">
        <v>0.003</v>
      </c>
      <c r="H147" s="10" t="n">
        <v>0.004</v>
      </c>
      <c r="I147" s="10" t="n">
        <v>0.008</v>
      </c>
      <c r="J147" s="10" t="n">
        <v>0.01</v>
      </c>
      <c r="K147" s="10" t="n">
        <v>0.012</v>
      </c>
      <c r="L147" s="10" t="n">
        <v>0.014</v>
      </c>
      <c r="M147" s="10" t="n">
        <v>0.017</v>
      </c>
      <c r="N147" s="10" t="n">
        <v>0.018</v>
      </c>
      <c r="O147" s="10" t="n">
        <v>0.019</v>
      </c>
    </row>
    <row r="148">
      <c r="A148" t="inlineStr">
        <is>
          <t>FREE MACHINING</t>
        </is>
      </c>
      <c r="B148" t="inlineStr">
        <is>
          <t>10L5O, 11L44, 12Ll3, 12L14, 12L15</t>
        </is>
      </c>
      <c r="C148" t="inlineStr">
        <is>
          <t>None</t>
        </is>
      </c>
      <c r="D148" t="inlineStr">
        <is>
          <t>REAM</t>
        </is>
      </c>
      <c r="E148" t="inlineStr">
        <is>
          <t>70-100</t>
        </is>
      </c>
      <c r="F148" t="inlineStr">
        <is>
          <t>100-150</t>
        </is>
      </c>
      <c r="G148" s="10" t="n">
        <v>0.005</v>
      </c>
      <c r="H148" s="10" t="n">
        <v>0.008</v>
      </c>
      <c r="I148" s="10" t="n">
        <v>0.01</v>
      </c>
      <c r="J148" s="10" t="n">
        <v>0.012</v>
      </c>
      <c r="K148" s="10" t="n">
        <v>0.014</v>
      </c>
      <c r="L148" s="10" t="n">
        <v>0.015</v>
      </c>
      <c r="M148" s="10" t="n">
        <v>0.02</v>
      </c>
      <c r="N148" s="10" t="n">
        <v>0.025</v>
      </c>
      <c r="O148" s="10" t="n">
        <v>0.03</v>
      </c>
    </row>
    <row r="149">
      <c r="A149" t="inlineStr">
        <is>
          <t>STEEL-LOW &amp; MEDIUM STRENGTH</t>
        </is>
      </c>
      <c r="B149" t="inlineStr">
        <is>
          <t>1005-1029, 1030-1050,</t>
        </is>
      </c>
      <c r="C149" t="inlineStr">
        <is>
          <t>100-375</t>
        </is>
      </c>
      <c r="D149" t="inlineStr">
        <is>
          <t>DRILL</t>
        </is>
      </c>
      <c r="E149" t="inlineStr">
        <is>
          <t>-</t>
        </is>
      </c>
      <c r="F149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</row>
    <row r="150">
      <c r="A150" t="inlineStr">
        <is>
          <t>WROUGHT</t>
        </is>
      </c>
      <c r="B150" t="inlineStr">
        <is>
          <t>1513, 1518, 1524, 1552</t>
        </is>
      </c>
      <c r="C150" t="inlineStr">
        <is>
          <t>None</t>
        </is>
      </c>
      <c r="D150" t="inlineStr">
        <is>
          <t>REAM</t>
        </is>
      </c>
      <c r="E150" t="inlineStr">
        <is>
          <t>30-85</t>
        </is>
      </c>
      <c r="F150" t="inlineStr">
        <is>
          <t>40-110</t>
        </is>
      </c>
      <c r="G150" s="10" t="n">
        <v>0.004</v>
      </c>
      <c r="H150" s="10" t="n">
        <v>0.008</v>
      </c>
      <c r="I150" s="10" t="n">
        <v>0.008999999999999999</v>
      </c>
      <c r="J150" s="10" t="n">
        <v>0.011</v>
      </c>
      <c r="K150" s="10" t="n">
        <v>0.013</v>
      </c>
      <c r="L150" s="10" t="n">
        <v>0.015</v>
      </c>
      <c r="M150" s="10" t="n">
        <v>0.018</v>
      </c>
      <c r="N150" s="10" t="n">
        <v>0.02</v>
      </c>
      <c r="O150" s="10" t="n">
        <v>0.022</v>
      </c>
    </row>
    <row r="151">
      <c r="A151" t="inlineStr">
        <is>
          <t>ALLOY STEEL-LOW &amp; MEDIUM STRENGTH</t>
        </is>
      </c>
      <c r="B151" t="inlineStr">
        <is>
          <t>41L30, 41L40, 41L50, 86L20,</t>
        </is>
      </c>
      <c r="C151" t="inlineStr">
        <is>
          <t>100-275</t>
        </is>
      </c>
      <c r="D151" t="inlineStr">
        <is>
          <t>DRILL</t>
        </is>
      </c>
      <c r="E151" t="inlineStr">
        <is>
          <t>-</t>
        </is>
      </c>
      <c r="F151" t="inlineStr">
        <is>
          <t>100-220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-</t>
        </is>
      </c>
      <c r="N151" s="10" t="inlineStr">
        <is>
          <t>-</t>
        </is>
      </c>
      <c r="O151" s="10" t="inlineStr">
        <is>
          <t>-</t>
        </is>
      </c>
    </row>
    <row r="152">
      <c r="A152" t="inlineStr">
        <is>
          <t>FREE MACHINING</t>
        </is>
      </c>
      <c r="B152" t="inlineStr">
        <is>
          <t>4142Se, 4145Te</t>
        </is>
      </c>
      <c r="C152" t="inlineStr">
        <is>
          <t>None</t>
        </is>
      </c>
      <c r="D152" t="inlineStr">
        <is>
          <t>REAM</t>
        </is>
      </c>
      <c r="E152" t="inlineStr">
        <is>
          <t>65-100</t>
        </is>
      </c>
      <c r="F152" t="inlineStr">
        <is>
          <t>90-135</t>
        </is>
      </c>
      <c r="G152" s="10" t="n">
        <v>0.005</v>
      </c>
      <c r="H152" s="10" t="n">
        <v>0.008</v>
      </c>
      <c r="I152" s="10" t="n">
        <v>0.01</v>
      </c>
      <c r="J152" s="10" t="n">
        <v>0.015</v>
      </c>
      <c r="K152" s="10" t="n">
        <v>0.017</v>
      </c>
      <c r="L152" s="10" t="n">
        <v>0.018</v>
      </c>
      <c r="M152" s="10" t="n">
        <v>0.022</v>
      </c>
      <c r="N152" s="10" t="n">
        <v>0.025</v>
      </c>
      <c r="O152" s="10" t="n">
        <v>0.027</v>
      </c>
    </row>
    <row r="153">
      <c r="A153" t="inlineStr">
        <is>
          <t>ALLOY STEEL-LOW &amp; MEDIUM STRENGTH</t>
        </is>
      </c>
      <c r="B153" t="inlineStr">
        <is>
          <t>1330, 1345, 1515, 4012, 4130, 4140, 4150, 4320,</t>
        </is>
      </c>
      <c r="C153" t="inlineStr">
        <is>
          <t>85-375</t>
        </is>
      </c>
      <c r="D153" t="inlineStr">
        <is>
          <t>DRILL</t>
        </is>
      </c>
      <c r="E153" t="inlineStr">
        <is>
          <t>-</t>
        </is>
      </c>
      <c r="F153" t="inlineStr">
        <is>
          <t>100-150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</row>
    <row r="154">
      <c r="A154" t="inlineStr">
        <is>
          <t>ALLOY STEEL-LOW &amp; MEDIUM STRENGTH</t>
        </is>
      </c>
      <c r="B154" t="inlineStr">
        <is>
          <t>4340, 4620, 5130, 8620, 8630, 8645, 9310</t>
        </is>
      </c>
      <c r="C154" t="inlineStr">
        <is>
          <t>None</t>
        </is>
      </c>
      <c r="D154" t="inlineStr">
        <is>
          <t>REAM</t>
        </is>
      </c>
      <c r="E154" t="inlineStr">
        <is>
          <t>40-85</t>
        </is>
      </c>
      <c r="F154" t="inlineStr">
        <is>
          <t>65-100</t>
        </is>
      </c>
      <c r="G154" s="10" t="n">
        <v>0.005</v>
      </c>
      <c r="H154" s="10" t="n">
        <v>0.01</v>
      </c>
      <c r="I154" s="10" t="n">
        <v>0.012</v>
      </c>
      <c r="J154" s="10" t="n">
        <v>0.015</v>
      </c>
      <c r="K154" s="10" t="n">
        <v>0.018</v>
      </c>
      <c r="L154" s="10" t="n">
        <v>0.02</v>
      </c>
      <c r="M154" s="10" t="n">
        <v>0.025</v>
      </c>
      <c r="N154" s="10" t="n">
        <v>0.027</v>
      </c>
      <c r="O154" s="10" t="n">
        <v>0.03</v>
      </c>
    </row>
    <row r="155">
      <c r="A155" t="inlineStr">
        <is>
          <t>STAINLESS STEEL 400 SERIES</t>
        </is>
      </c>
      <c r="B155" t="inlineStr">
        <is>
          <t>409, 410, 414, 420,</t>
        </is>
      </c>
      <c r="C155" t="inlineStr">
        <is>
          <t>135-325</t>
        </is>
      </c>
      <c r="D155" t="inlineStr">
        <is>
          <t>DRILL</t>
        </is>
      </c>
      <c r="E155" t="inlineStr">
        <is>
          <t>-</t>
        </is>
      </c>
      <c r="F155" t="inlineStr">
        <is>
          <t>110-150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-</t>
        </is>
      </c>
      <c r="N155" s="10" t="inlineStr">
        <is>
          <t>-</t>
        </is>
      </c>
      <c r="O155" s="10" t="inlineStr">
        <is>
          <t>-</t>
        </is>
      </c>
    </row>
    <row r="156">
      <c r="A156" t="inlineStr">
        <is>
          <t>STAINLESS STEEL 400 SERIES</t>
        </is>
      </c>
      <c r="B156" t="inlineStr">
        <is>
          <t>430, 436, 442, 446</t>
        </is>
      </c>
      <c r="C156" t="inlineStr">
        <is>
          <t>None</t>
        </is>
      </c>
      <c r="D156" t="inlineStr">
        <is>
          <t>REAM</t>
        </is>
      </c>
      <c r="E156" t="inlineStr">
        <is>
          <t>40-90</t>
        </is>
      </c>
      <c r="F156" t="inlineStr">
        <is>
          <t>50-100</t>
        </is>
      </c>
      <c r="G156" s="10" t="n">
        <v>0.003</v>
      </c>
      <c r="H156" s="10" t="n">
        <v>0.005</v>
      </c>
      <c r="I156" s="10" t="n">
        <v>0.006</v>
      </c>
      <c r="J156" s="10" t="n">
        <v>0.007</v>
      </c>
      <c r="K156" s="10" t="n">
        <v>0.008</v>
      </c>
      <c r="L156" s="10" t="n">
        <v>0.008</v>
      </c>
      <c r="M156" s="10" t="n">
        <v>0.01</v>
      </c>
      <c r="N156" s="10" t="n">
        <v>0.011</v>
      </c>
      <c r="O156" s="10" t="n">
        <v>0.012</v>
      </c>
    </row>
    <row r="157">
      <c r="A157" t="inlineStr">
        <is>
          <t>STAINLESS STEEL</t>
        </is>
      </c>
      <c r="B157" t="inlineStr">
        <is>
          <t>203 EZ, 303, 303MA, 303Pb, 303 PLUS X,</t>
        </is>
      </c>
      <c r="C157" t="inlineStr">
        <is>
          <t>135-275</t>
        </is>
      </c>
      <c r="D157" t="inlineStr">
        <is>
          <t>DRILL</t>
        </is>
      </c>
      <c r="E157" t="inlineStr">
        <is>
          <t>100-150</t>
        </is>
      </c>
      <c r="F157" t="inlineStr">
        <is>
          <t>125-190</t>
        </is>
      </c>
      <c r="G157" s="10" t="n">
        <v>0.002</v>
      </c>
      <c r="H157" s="10" t="n">
        <v>0.004</v>
      </c>
      <c r="I157" s="10" t="n">
        <v>0.005</v>
      </c>
      <c r="J157" s="10" t="n">
        <v>0.006</v>
      </c>
      <c r="K157" s="10" t="n">
        <v>0.007</v>
      </c>
      <c r="L157" s="10" t="n">
        <v>0.008</v>
      </c>
      <c r="M157" s="10" t="n">
        <v>0.01</v>
      </c>
      <c r="N157" s="10" t="n">
        <v>0.012</v>
      </c>
      <c r="O157" s="10" t="n">
        <v>0.014</v>
      </c>
    </row>
    <row r="158">
      <c r="A158" t="inlineStr">
        <is>
          <t>FREE MACHINING</t>
        </is>
      </c>
      <c r="B158" t="inlineStr">
        <is>
          <t>303Se, 416, 416Se, 420F, 430F, 440F</t>
        </is>
      </c>
      <c r="C158" t="inlineStr">
        <is>
          <t>None</t>
        </is>
      </c>
      <c r="D158" t="inlineStr">
        <is>
          <t>REAM</t>
        </is>
      </c>
      <c r="E158" t="inlineStr">
        <is>
          <t>65-100</t>
        </is>
      </c>
      <c r="F158" t="inlineStr">
        <is>
          <t>90-135</t>
        </is>
      </c>
      <c r="G158" s="10" t="n">
        <v>0.004</v>
      </c>
      <c r="H158" s="10" t="n">
        <v>0.006</v>
      </c>
      <c r="I158" s="10" t="n">
        <v>0.007</v>
      </c>
      <c r="J158" s="10" t="n">
        <v>0.008</v>
      </c>
      <c r="K158" s="10" t="n">
        <v>0.008999999999999999</v>
      </c>
      <c r="L158" s="10" t="n">
        <v>0.008999999999999999</v>
      </c>
      <c r="M158" s="10" t="n">
        <v>0.01</v>
      </c>
      <c r="N158" s="10" t="n">
        <v>0.011</v>
      </c>
      <c r="O158" s="10" t="n">
        <v>0.012</v>
      </c>
    </row>
    <row r="159">
      <c r="A159" t="inlineStr">
        <is>
          <t>ALLOY STEEL - HIGH STRENGTH, MARAGING</t>
        </is>
      </c>
      <c r="B159" t="inlineStr">
        <is>
          <t>50100, 51100, 52100, GRADES 200-350, Nitralloy,</t>
        </is>
      </c>
      <c r="C159" t="inlineStr">
        <is>
          <t>175-400</t>
        </is>
      </c>
      <c r="D159" t="inlineStr">
        <is>
          <t>DRILL</t>
        </is>
      </c>
      <c r="E159" t="inlineStr">
        <is>
          <t>-</t>
        </is>
      </c>
      <c r="F159" t="inlineStr">
        <is>
          <t>100-150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-</t>
        </is>
      </c>
      <c r="N159" s="10" t="inlineStr">
        <is>
          <t>-</t>
        </is>
      </c>
      <c r="O159" s="10" t="inlineStr">
        <is>
          <t>-</t>
        </is>
      </c>
    </row>
    <row r="160">
      <c r="A160" t="inlineStr">
        <is>
          <t>STEEL, NITRIDING STEEL, TOOL STEEL</t>
        </is>
      </c>
      <c r="B160" t="inlineStr">
        <is>
          <t>SERIES A2, D2, H13, M50, P20, S7, W1</t>
        </is>
      </c>
      <c r="C160" t="inlineStr">
        <is>
          <t>None</t>
        </is>
      </c>
      <c r="D160" t="inlineStr">
        <is>
          <t>REAM</t>
        </is>
      </c>
      <c r="E160" t="inlineStr">
        <is>
          <t>35-70</t>
        </is>
      </c>
      <c r="F160" t="inlineStr">
        <is>
          <t>50-100</t>
        </is>
      </c>
      <c r="G160" s="10" t="n">
        <v>0.004</v>
      </c>
      <c r="H160" s="10" t="n">
        <v>0.006</v>
      </c>
      <c r="I160" s="10" t="n">
        <v>0.007</v>
      </c>
      <c r="J160" s="10" t="n">
        <v>0.008</v>
      </c>
      <c r="K160" s="10" t="n">
        <v>0.008999999999999999</v>
      </c>
      <c r="L160" s="10" t="n">
        <v>0.01</v>
      </c>
      <c r="M160" s="10" t="n">
        <v>0.011</v>
      </c>
      <c r="N160" s="10" t="n">
        <v>0.012</v>
      </c>
      <c r="O160" s="10" t="n">
        <v>0.013</v>
      </c>
    </row>
    <row r="161">
      <c r="A161" t="inlineStr">
        <is>
          <t>HIGH TEMP ALLOY</t>
        </is>
      </c>
      <c r="B161" t="inlineStr">
        <is>
          <t>A-286; Hastelloy C; Inconel 600, 625, 718, 825;</t>
        </is>
      </c>
      <c r="C161" t="inlineStr">
        <is>
          <t>140-300</t>
        </is>
      </c>
      <c r="D161" t="inlineStr">
        <is>
          <t>DRILL</t>
        </is>
      </c>
      <c r="E161" t="inlineStr">
        <is>
          <t>-</t>
        </is>
      </c>
      <c r="F161" t="inlineStr">
        <is>
          <t>60-115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-</t>
        </is>
      </c>
      <c r="N161" s="10" t="inlineStr">
        <is>
          <t>-</t>
        </is>
      </c>
      <c r="O161" s="10" t="inlineStr">
        <is>
          <t>-</t>
        </is>
      </c>
    </row>
    <row r="162">
      <c r="A162" t="inlineStr">
        <is>
          <t>NICKEL &amp; IRON</t>
        </is>
      </c>
      <c r="B162" t="inlineStr">
        <is>
          <t>Monel 400; Nimonic 75, 80; Rene 41; Waspaloy</t>
        </is>
      </c>
      <c r="C162" t="inlineStr">
        <is>
          <t>None</t>
        </is>
      </c>
      <c r="D162" t="inlineStr">
        <is>
          <t>REAM</t>
        </is>
      </c>
      <c r="E162" t="inlineStr">
        <is>
          <t>15-85</t>
        </is>
      </c>
      <c r="F162" t="inlineStr">
        <is>
          <t>20-115</t>
        </is>
      </c>
      <c r="G162" s="10" t="n">
        <v>0.003</v>
      </c>
      <c r="H162" s="10" t="n">
        <v>0.005</v>
      </c>
      <c r="I162" s="10" t="n">
        <v>0.005</v>
      </c>
      <c r="J162" s="10" t="n">
        <v>0.005</v>
      </c>
      <c r="K162" s="10" t="n">
        <v>0.006</v>
      </c>
      <c r="L162" s="10" t="n">
        <v>0.007</v>
      </c>
      <c r="M162" s="10" t="n">
        <v>0.008</v>
      </c>
      <c r="N162" s="10" t="n">
        <v>0.01</v>
      </c>
      <c r="O162" s="10" t="n">
        <v>0.012</v>
      </c>
    </row>
    <row r="163">
      <c r="A163" t="inlineStr">
        <is>
          <t>STAINLESS STEEL 300 SERIES</t>
        </is>
      </c>
      <c r="B163" t="inlineStr">
        <is>
          <t>301, 302, 304, 309, 314, 316, 321, 330, 347, 385,</t>
        </is>
      </c>
      <c r="C163" t="inlineStr">
        <is>
          <t>135-375</t>
        </is>
      </c>
      <c r="D163" t="inlineStr">
        <is>
          <t>DRILL</t>
        </is>
      </c>
      <c r="E163" t="inlineStr">
        <is>
          <t>-</t>
        </is>
      </c>
      <c r="F163" t="inlineStr">
        <is>
          <t>70-105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-</t>
        </is>
      </c>
      <c r="N163" s="10" t="inlineStr">
        <is>
          <t>-</t>
        </is>
      </c>
      <c r="O163" s="10" t="inlineStr">
        <is>
          <t>-</t>
        </is>
      </c>
    </row>
    <row r="164">
      <c r="A164" t="inlineStr">
        <is>
          <t>STAINLESS STEEL 300 SERIES</t>
        </is>
      </c>
      <c r="B164" t="inlineStr">
        <is>
          <t>Nitronic 32, 33, 40, 50, 60</t>
        </is>
      </c>
      <c r="C164" t="inlineStr">
        <is>
          <t>None</t>
        </is>
      </c>
      <c r="D164" t="inlineStr">
        <is>
          <t>REAM</t>
        </is>
      </c>
      <c r="E164" t="inlineStr">
        <is>
          <t>40-75</t>
        </is>
      </c>
      <c r="F164" t="inlineStr">
        <is>
          <t>60-90</t>
        </is>
      </c>
      <c r="G164" s="10" t="n">
        <v>0.003</v>
      </c>
      <c r="H164" s="10" t="n">
        <v>0.004</v>
      </c>
      <c r="I164" s="10" t="n">
        <v>0.005</v>
      </c>
      <c r="J164" s="10" t="n">
        <v>0.006</v>
      </c>
      <c r="K164" s="10" t="n">
        <v>0.006</v>
      </c>
      <c r="L164" s="10" t="n">
        <v>0.007</v>
      </c>
      <c r="M164" s="10" t="n">
        <v>0.008</v>
      </c>
      <c r="N164" s="10" t="n">
        <v>0.008999999999999999</v>
      </c>
      <c r="O164" s="10" t="n">
        <v>0.01</v>
      </c>
    </row>
    <row r="165">
      <c r="A165" t="inlineStr">
        <is>
          <t>STAINLESS STEEL PH SERIES</t>
        </is>
      </c>
      <c r="B165" t="inlineStr">
        <is>
          <t>13-8 Mo, 15-5PH, 16-6PH, 17-4PH,</t>
        </is>
      </c>
      <c r="C165" t="inlineStr">
        <is>
          <t>150-440</t>
        </is>
      </c>
      <c r="D165" t="inlineStr">
        <is>
          <t>DRILL</t>
        </is>
      </c>
      <c r="E165" t="inlineStr">
        <is>
          <t>-</t>
        </is>
      </c>
      <c r="F165" t="inlineStr">
        <is>
          <t>65-100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-</t>
        </is>
      </c>
      <c r="N165" s="10" t="inlineStr">
        <is>
          <t>-</t>
        </is>
      </c>
      <c r="O165" s="10" t="inlineStr">
        <is>
          <t>-</t>
        </is>
      </c>
    </row>
    <row r="166">
      <c r="A166" t="inlineStr">
        <is>
          <t>STAINLESS STEEL PH SERIES</t>
        </is>
      </c>
      <c r="B166" t="inlineStr">
        <is>
          <t>17-7PH, AM-350, AM-335</t>
        </is>
      </c>
      <c r="C166" t="inlineStr">
        <is>
          <t>None</t>
        </is>
      </c>
      <c r="D166" t="inlineStr">
        <is>
          <t>REAM</t>
        </is>
      </c>
      <c r="E166" t="inlineStr">
        <is>
          <t>35-70</t>
        </is>
      </c>
      <c r="F166" t="inlineStr">
        <is>
          <t>50-90</t>
        </is>
      </c>
      <c r="G166" s="10" t="n">
        <v>0.003</v>
      </c>
      <c r="H166" s="10" t="n">
        <v>0.004</v>
      </c>
      <c r="I166" s="10" t="n">
        <v>0.004</v>
      </c>
      <c r="J166" s="10" t="n">
        <v>0.005</v>
      </c>
      <c r="K166" s="10" t="n">
        <v>0.006</v>
      </c>
      <c r="L166" s="10" t="n">
        <v>0.007</v>
      </c>
      <c r="M166" s="10" t="n">
        <v>0.008</v>
      </c>
      <c r="N166" s="10" t="n">
        <v>0.008999999999999999</v>
      </c>
      <c r="O166" s="10" t="n">
        <v>0.01</v>
      </c>
    </row>
    <row r="167">
      <c r="A167" t="inlineStr">
        <is>
          <t>TITANIUM ALLOY</t>
        </is>
      </c>
      <c r="B167" t="inlineStr">
        <is>
          <t>98.9, 99.0, 99.2, 99.5, Ti-6Al-4V,</t>
        </is>
      </c>
      <c r="C167" t="inlineStr">
        <is>
          <t>110-380</t>
        </is>
      </c>
      <c r="D167" t="inlineStr">
        <is>
          <t>DRILL</t>
        </is>
      </c>
      <c r="E167" t="inlineStr">
        <is>
          <t>-</t>
        </is>
      </c>
      <c r="F167" t="inlineStr">
        <is>
          <t>65-100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-</t>
        </is>
      </c>
      <c r="N167" s="10" t="inlineStr">
        <is>
          <t>-</t>
        </is>
      </c>
      <c r="O167" s="10" t="inlineStr">
        <is>
          <t>-</t>
        </is>
      </c>
    </row>
    <row r="168">
      <c r="A168" t="inlineStr">
        <is>
          <t>TITANIUM ALLOY</t>
        </is>
      </c>
      <c r="B168" t="inlineStr">
        <is>
          <t>Ti-6Al-6V2Sn, Ti-8Mn, Ti-10v-2Fe-3Al</t>
        </is>
      </c>
      <c r="C168" t="inlineStr">
        <is>
          <t>None</t>
        </is>
      </c>
      <c r="D168" t="inlineStr">
        <is>
          <t>REAM</t>
        </is>
      </c>
      <c r="E168" t="inlineStr">
        <is>
          <t>30-45</t>
        </is>
      </c>
      <c r="F168" t="inlineStr">
        <is>
          <t>40-60</t>
        </is>
      </c>
      <c r="G168" s="10" t="n">
        <v>0.004</v>
      </c>
      <c r="H168" s="10" t="n">
        <v>0.006</v>
      </c>
      <c r="I168" s="10" t="n">
        <v>0.008</v>
      </c>
      <c r="J168" s="10" t="n">
        <v>0.01</v>
      </c>
      <c r="K168" s="10" t="n">
        <v>0.011</v>
      </c>
      <c r="L168" s="10" t="n">
        <v>0.011</v>
      </c>
      <c r="M168" s="10" t="n">
        <v>0.012</v>
      </c>
      <c r="N168" s="10" t="n">
        <v>0.013</v>
      </c>
      <c r="O168" s="10" t="n">
        <v>0.014</v>
      </c>
    </row>
    <row r="170">
      <c r="A170" s="5" t="inlineStr">
        <is>
          <t>11 — REAMING / DRILLING FEEDS BY MATERIAL — CF FEEDS (IN/REV)</t>
        </is>
      </c>
    </row>
    <row r="171">
      <c r="A171" s="3" t="inlineStr">
        <is>
          <t>Material</t>
        </is>
      </c>
      <c r="B171" s="3" t="inlineStr">
        <is>
          <t>CF 1/8</t>
        </is>
      </c>
      <c r="C171" s="3" t="inlineStr">
        <is>
          <t>CF 1/4</t>
        </is>
      </c>
      <c r="D171" s="3" t="inlineStr">
        <is>
          <t>CF 3/8</t>
        </is>
      </c>
      <c r="E171" s="3" t="inlineStr">
        <is>
          <t>CF 1/2</t>
        </is>
      </c>
      <c r="F171" s="3" t="inlineStr">
        <is>
          <t>CF 5/8</t>
        </is>
      </c>
      <c r="G171" s="3" t="inlineStr">
        <is>
          <t>CF 3/4</t>
        </is>
      </c>
      <c r="H171" s="3" t="inlineStr">
        <is>
          <t>CF 1</t>
        </is>
      </c>
      <c r="I171" s="3" t="inlineStr">
        <is>
          <t>CF 1-1/4</t>
        </is>
      </c>
      <c r="J171" s="3" t="inlineStr">
        <is>
          <t>CF 1-1/2</t>
        </is>
      </c>
    </row>
    <row r="172">
      <c r="A172" t="inlineStr">
        <is>
          <t>ALUMINUM ALLOY</t>
        </is>
      </c>
      <c r="B172" s="10" t="inlineStr">
        <is>
          <t>-</t>
        </is>
      </c>
      <c r="C172" s="10" t="n">
        <v>0.004</v>
      </c>
      <c r="D172" s="10" t="n">
        <v>0.005</v>
      </c>
      <c r="E172" s="10" t="n">
        <v>0.006</v>
      </c>
      <c r="F172" s="10" t="n">
        <v>0.006</v>
      </c>
      <c r="G172" s="10" t="n">
        <v>0.007</v>
      </c>
      <c r="H172" s="10" t="n">
        <v>0.008999999999999999</v>
      </c>
      <c r="I172" s="10" t="inlineStr">
        <is>
          <t>-</t>
        </is>
      </c>
      <c r="J172" s="10" t="inlineStr">
        <is>
          <t>-</t>
        </is>
      </c>
    </row>
    <row r="173">
      <c r="A173" t="inlineStr">
        <is>
          <t>CAST AND WROUGHT</t>
        </is>
      </c>
      <c r="B173" s="10" t="inlineStr">
        <is>
          <t>-</t>
        </is>
      </c>
      <c r="C173" s="10" t="n">
        <v>0.008</v>
      </c>
      <c r="D173" s="10" t="n">
        <v>0.01</v>
      </c>
      <c r="E173" s="10" t="n">
        <v>0.013</v>
      </c>
      <c r="F173" s="10" t="n">
        <v>0.015</v>
      </c>
      <c r="G173" s="10" t="n">
        <v>0.017</v>
      </c>
      <c r="H173" s="10" t="n">
        <v>0.021</v>
      </c>
      <c r="I173" s="10" t="n">
        <v>0.022</v>
      </c>
      <c r="J173" s="10" t="n">
        <v>0.024</v>
      </c>
    </row>
    <row r="174">
      <c r="A174" t="inlineStr">
        <is>
          <t>COPPER ALLOY</t>
        </is>
      </c>
      <c r="B174" s="10" t="inlineStr">
        <is>
          <t>-</t>
        </is>
      </c>
      <c r="C174" s="10" t="n">
        <v>0.004</v>
      </c>
      <c r="D174" s="10" t="n">
        <v>0.005</v>
      </c>
      <c r="E174" s="10" t="n">
        <v>0.006</v>
      </c>
      <c r="F174" s="10" t="n">
        <v>0.007</v>
      </c>
      <c r="G174" s="10" t="n">
        <v>0.008</v>
      </c>
      <c r="H174" s="10" t="n">
        <v>0.01</v>
      </c>
      <c r="I174" s="10" t="inlineStr">
        <is>
          <t>-</t>
        </is>
      </c>
      <c r="J174" s="10" t="inlineStr">
        <is>
          <t>-</t>
        </is>
      </c>
    </row>
    <row r="175">
      <c r="A175" t="inlineStr">
        <is>
          <t>TOUGH</t>
        </is>
      </c>
      <c r="B175" s="10" t="inlineStr">
        <is>
          <t>-</t>
        </is>
      </c>
      <c r="C175" s="10" t="n">
        <v>0.008</v>
      </c>
      <c r="D175" s="10" t="n">
        <v>0.01</v>
      </c>
      <c r="E175" s="10" t="n">
        <v>0.013</v>
      </c>
      <c r="F175" s="10" t="n">
        <v>0.014</v>
      </c>
      <c r="G175" s="10" t="n">
        <v>0.016</v>
      </c>
      <c r="H175" s="10" t="n">
        <v>0.018</v>
      </c>
      <c r="I175" s="10" t="n">
        <v>0.019</v>
      </c>
      <c r="J175" s="10" t="n">
        <v>0.02</v>
      </c>
    </row>
    <row r="176">
      <c r="A176" t="inlineStr">
        <is>
          <t>LEAD ALLOY</t>
        </is>
      </c>
      <c r="B176" s="10" t="inlineStr">
        <is>
          <t>-</t>
        </is>
      </c>
      <c r="C176" s="10" t="n">
        <v>0.004</v>
      </c>
      <c r="D176" s="10" t="n">
        <v>0.006</v>
      </c>
      <c r="E176" s="10" t="n">
        <v>0.007</v>
      </c>
      <c r="F176" s="10" t="n">
        <v>0.008</v>
      </c>
      <c r="G176" s="10" t="n">
        <v>0.008999999999999999</v>
      </c>
      <c r="H176" s="10" t="n">
        <v>0.013</v>
      </c>
      <c r="I176" s="10" t="inlineStr">
        <is>
          <t>-</t>
        </is>
      </c>
      <c r="J176" s="10" t="inlineStr">
        <is>
          <t>-</t>
        </is>
      </c>
    </row>
    <row r="177">
      <c r="A177" t="inlineStr">
        <is>
          <t>LEAD ALLOY</t>
        </is>
      </c>
      <c r="B177" s="10" t="inlineStr">
        <is>
          <t>-</t>
        </is>
      </c>
      <c r="C177" s="10" t="n">
        <v>0.008</v>
      </c>
      <c r="D177" s="10" t="n">
        <v>0.01</v>
      </c>
      <c r="E177" s="10" t="n">
        <v>0.016</v>
      </c>
      <c r="F177" s="10" t="n">
        <v>0.017</v>
      </c>
      <c r="G177" s="10" t="n">
        <v>0.018</v>
      </c>
      <c r="H177" s="10" t="n">
        <v>0.022</v>
      </c>
      <c r="I177" s="10" t="n">
        <v>0.024</v>
      </c>
      <c r="J177" s="10" t="n">
        <v>0.026</v>
      </c>
    </row>
    <row r="178">
      <c r="A178" t="inlineStr">
        <is>
          <t>PLASTIC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-</t>
        </is>
      </c>
    </row>
    <row r="179">
      <c r="A179" t="inlineStr">
        <is>
          <t>PLASTIC</t>
        </is>
      </c>
      <c r="B179" s="10" t="inlineStr">
        <is>
          <t>-</t>
        </is>
      </c>
      <c r="C179" s="10" t="n">
        <v>0.006</v>
      </c>
      <c r="D179" s="10" t="n">
        <v>0.008</v>
      </c>
      <c r="E179" s="10" t="n">
        <v>0.008999999999999999</v>
      </c>
      <c r="F179" s="10" t="n">
        <v>0.01</v>
      </c>
      <c r="G179" s="10" t="n">
        <v>0.014</v>
      </c>
      <c r="H179" s="10" t="n">
        <v>0.016</v>
      </c>
      <c r="I179" s="10" t="n">
        <v>0.018</v>
      </c>
      <c r="J179" s="10" t="n">
        <v>0.02</v>
      </c>
    </row>
    <row r="180">
      <c r="A180" t="inlineStr">
        <is>
          <t>ZINC ALLOY</t>
        </is>
      </c>
      <c r="B180" s="10" t="inlineStr">
        <is>
          <t>-</t>
        </is>
      </c>
      <c r="C180" s="10" t="n">
        <v>0.004</v>
      </c>
      <c r="D180" s="10" t="n">
        <v>0.005</v>
      </c>
      <c r="E180" s="10" t="n">
        <v>0.006</v>
      </c>
      <c r="F180" s="10" t="n">
        <v>0.008</v>
      </c>
      <c r="G180" s="10" t="n">
        <v>0.008999999999999999</v>
      </c>
      <c r="H180" s="10" t="n">
        <v>0.01</v>
      </c>
      <c r="I180" s="10" t="inlineStr">
        <is>
          <t>-</t>
        </is>
      </c>
      <c r="J180" s="10" t="inlineStr">
        <is>
          <t>-</t>
        </is>
      </c>
    </row>
    <row r="181">
      <c r="A181" t="inlineStr">
        <is>
          <t>ZINC ALLOY</t>
        </is>
      </c>
      <c r="B181" s="10" t="inlineStr">
        <is>
          <t>-</t>
        </is>
      </c>
      <c r="C181" s="10" t="n">
        <v>0.008999999999999999</v>
      </c>
      <c r="D181" s="10" t="n">
        <v>0.011</v>
      </c>
      <c r="E181" s="10" t="n">
        <v>0.013</v>
      </c>
      <c r="F181" s="10" t="n">
        <v>0.014</v>
      </c>
      <c r="G181" s="10" t="n">
        <v>0.016</v>
      </c>
      <c r="H181" s="10" t="n">
        <v>0.02</v>
      </c>
      <c r="I181" s="10" t="n">
        <v>0.022</v>
      </c>
      <c r="J181" s="10" t="n">
        <v>0.025</v>
      </c>
    </row>
    <row r="182">
      <c r="A182" t="inlineStr">
        <is>
          <t>ALUMINUM BRONZE</t>
        </is>
      </c>
      <c r="B182" s="10" t="inlineStr">
        <is>
          <t>-</t>
        </is>
      </c>
      <c r="C182" s="10" t="n">
        <v>0.004</v>
      </c>
      <c r="D182" s="10" t="n">
        <v>0.005</v>
      </c>
      <c r="E182" s="10" t="n">
        <v>0.006</v>
      </c>
      <c r="F182" s="10" t="n">
        <v>0.007</v>
      </c>
      <c r="G182" s="10" t="n">
        <v>0.008</v>
      </c>
      <c r="H182" s="10" t="n">
        <v>0.01</v>
      </c>
      <c r="I182" s="10" t="inlineStr">
        <is>
          <t>-</t>
        </is>
      </c>
      <c r="J182" s="10" t="inlineStr">
        <is>
          <t>-</t>
        </is>
      </c>
    </row>
    <row r="183">
      <c r="A183" t="inlineStr">
        <is>
          <t>ALUMINUM BRONZE</t>
        </is>
      </c>
      <c r="B183" s="10" t="inlineStr">
        <is>
          <t>-</t>
        </is>
      </c>
      <c r="C183" s="10" t="n">
        <v>0.008</v>
      </c>
      <c r="D183" s="10" t="n">
        <v>0.013</v>
      </c>
      <c r="E183" s="10" t="n">
        <v>0.015</v>
      </c>
      <c r="F183" s="10" t="n">
        <v>0.016</v>
      </c>
      <c r="G183" s="10" t="n">
        <v>0.018</v>
      </c>
      <c r="H183" s="10" t="n">
        <v>0.021</v>
      </c>
      <c r="I183" s="10" t="n">
        <v>0.024</v>
      </c>
      <c r="J183" s="10" t="n">
        <v>0.028</v>
      </c>
    </row>
    <row r="184">
      <c r="A184" t="inlineStr">
        <is>
          <t>COPPER ALLOY / BRASS / BRONZE</t>
        </is>
      </c>
      <c r="B184" s="10" t="inlineStr">
        <is>
          <t>-</t>
        </is>
      </c>
      <c r="C184" s="10" t="n">
        <v>0.004</v>
      </c>
      <c r="D184" s="10" t="n">
        <v>0.005</v>
      </c>
      <c r="E184" s="10" t="n">
        <v>0.006</v>
      </c>
      <c r="F184" s="10" t="n">
        <v>0.007</v>
      </c>
      <c r="G184" s="10" t="n">
        <v>0.008</v>
      </c>
      <c r="H184" s="10" t="n">
        <v>0.01</v>
      </c>
      <c r="I184" s="10" t="inlineStr">
        <is>
          <t>-</t>
        </is>
      </c>
      <c r="J184" s="10" t="inlineStr">
        <is>
          <t>-</t>
        </is>
      </c>
    </row>
    <row r="185">
      <c r="A185" t="inlineStr">
        <is>
          <t>FREE MACHINING</t>
        </is>
      </c>
      <c r="B185" s="10" t="inlineStr">
        <is>
          <t>-</t>
        </is>
      </c>
      <c r="C185" s="10" t="n">
        <v>0.01</v>
      </c>
      <c r="D185" s="10" t="n">
        <v>0.014</v>
      </c>
      <c r="E185" s="10" t="n">
        <v>0.02</v>
      </c>
      <c r="F185" s="10" t="n">
        <v>0.022</v>
      </c>
      <c r="G185" s="10" t="n">
        <v>0.024</v>
      </c>
      <c r="H185" s="10" t="n">
        <v>0.026</v>
      </c>
      <c r="I185" s="10" t="n">
        <v>0.028</v>
      </c>
      <c r="J185" s="10" t="n">
        <v>0.032</v>
      </c>
    </row>
    <row r="186">
      <c r="A186" t="inlineStr">
        <is>
          <t>MAGNESIUM ALLOY</t>
        </is>
      </c>
      <c r="B186" s="10" t="inlineStr">
        <is>
          <t>-</t>
        </is>
      </c>
      <c r="C186" s="10" t="n">
        <v>0.005</v>
      </c>
      <c r="D186" s="10" t="n">
        <v>0.006</v>
      </c>
      <c r="E186" s="10" t="n">
        <v>0.007</v>
      </c>
      <c r="F186" s="10" t="n">
        <v>0.008</v>
      </c>
      <c r="G186" s="10" t="n">
        <v>0.008999999999999999</v>
      </c>
      <c r="H186" s="10" t="n">
        <v>0.013</v>
      </c>
      <c r="I186" s="10" t="inlineStr">
        <is>
          <t>-</t>
        </is>
      </c>
      <c r="J186" s="10" t="inlineStr">
        <is>
          <t>-</t>
        </is>
      </c>
    </row>
    <row r="187">
      <c r="A187" t="inlineStr">
        <is>
          <t>MAGNESIUM ALLOY</t>
        </is>
      </c>
      <c r="B187" s="10" t="inlineStr">
        <is>
          <t>-</t>
        </is>
      </c>
      <c r="C187" s="10" t="n">
        <v>0.012</v>
      </c>
      <c r="D187" s="10" t="n">
        <v>0.015</v>
      </c>
      <c r="E187" s="10" t="n">
        <v>0.018</v>
      </c>
      <c r="F187" s="10" t="n">
        <v>0.019</v>
      </c>
      <c r="G187" s="10" t="n">
        <v>0.02</v>
      </c>
      <c r="H187" s="10" t="n">
        <v>0.024</v>
      </c>
      <c r="I187" s="10" t="n">
        <v>0.026</v>
      </c>
      <c r="J187" s="10" t="n">
        <v>0.028</v>
      </c>
    </row>
    <row r="188">
      <c r="A188" t="inlineStr">
        <is>
          <t>NICKEL SILVER</t>
        </is>
      </c>
      <c r="B188" s="10" t="inlineStr">
        <is>
          <t>-</t>
        </is>
      </c>
      <c r="C188" s="10" t="n">
        <v>0.004</v>
      </c>
      <c r="D188" s="10" t="n">
        <v>0.005</v>
      </c>
      <c r="E188" s="10" t="n">
        <v>0.006</v>
      </c>
      <c r="F188" s="10" t="n">
        <v>0.007</v>
      </c>
      <c r="G188" s="10" t="n">
        <v>0.008</v>
      </c>
      <c r="H188" s="10" t="n">
        <v>0.01</v>
      </c>
      <c r="I188" s="10" t="inlineStr">
        <is>
          <t>-</t>
        </is>
      </c>
      <c r="J188" s="10" t="inlineStr">
        <is>
          <t>-</t>
        </is>
      </c>
    </row>
    <row r="189">
      <c r="A189" t="inlineStr">
        <is>
          <t>NICKEL SILVER</t>
        </is>
      </c>
      <c r="B189" s="10" t="inlineStr">
        <is>
          <t>-</t>
        </is>
      </c>
      <c r="C189" s="10" t="n">
        <v>0.008</v>
      </c>
      <c r="D189" s="10" t="n">
        <v>0.01</v>
      </c>
      <c r="E189" s="10" t="n">
        <v>0.013</v>
      </c>
      <c r="F189" s="10" t="n">
        <v>0.014</v>
      </c>
      <c r="G189" s="10" t="n">
        <v>0.016</v>
      </c>
      <c r="H189" s="10" t="n">
        <v>0.018</v>
      </c>
      <c r="I189" s="10" t="n">
        <v>0.019</v>
      </c>
      <c r="J189" s="10" t="n">
        <v>0.02</v>
      </c>
    </row>
    <row r="190">
      <c r="A190" t="inlineStr">
        <is>
          <t>CAST IRON-DUCTILE</t>
        </is>
      </c>
      <c r="B190" s="10" t="inlineStr">
        <is>
          <t>-</t>
        </is>
      </c>
      <c r="C190" s="10" t="inlineStr">
        <is>
          <t>-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</row>
    <row r="191">
      <c r="A191" t="inlineStr">
        <is>
          <t>AUSTENITIC (NI-RESIST)</t>
        </is>
      </c>
      <c r="B191" s="10" t="inlineStr">
        <is>
          <t>-</t>
        </is>
      </c>
      <c r="C191" s="10" t="n">
        <v>0.008</v>
      </c>
      <c r="D191" s="10" t="n">
        <v>0.008999999999999999</v>
      </c>
      <c r="E191" s="10" t="n">
        <v>0.011</v>
      </c>
      <c r="F191" s="10" t="n">
        <v>0.014</v>
      </c>
      <c r="G191" s="10" t="n">
        <v>0.016</v>
      </c>
      <c r="H191" s="10" t="n">
        <v>0.018</v>
      </c>
      <c r="I191" s="10" t="n">
        <v>0.02</v>
      </c>
      <c r="J191" s="10" t="n">
        <v>0.025</v>
      </c>
    </row>
    <row r="192">
      <c r="A192" t="inlineStr">
        <is>
          <t>CAST IRON-DUCTILE</t>
        </is>
      </c>
      <c r="B192" s="10" t="inlineStr">
        <is>
          <t>-</t>
        </is>
      </c>
      <c r="C192" s="10" t="n">
        <v>0.004</v>
      </c>
      <c r="D192" s="10" t="n">
        <v>0.005</v>
      </c>
      <c r="E192" s="10" t="n">
        <v>0.006</v>
      </c>
      <c r="F192" s="10" t="n">
        <v>0.007</v>
      </c>
      <c r="G192" s="10" t="n">
        <v>0.008</v>
      </c>
      <c r="H192" s="10" t="n">
        <v>0.01</v>
      </c>
      <c r="I192" s="10" t="inlineStr">
        <is>
          <t>-</t>
        </is>
      </c>
      <c r="J192" s="10" t="inlineStr">
        <is>
          <t>-</t>
        </is>
      </c>
    </row>
    <row r="193">
      <c r="A193" t="inlineStr">
        <is>
          <t>FERRITIC &amp; FERRITIC-PEARLITIC</t>
        </is>
      </c>
      <c r="B193" s="10" t="inlineStr">
        <is>
          <t>-</t>
        </is>
      </c>
      <c r="C193" s="10" t="n">
        <v>0.007</v>
      </c>
      <c r="D193" s="10" t="n">
        <v>0.01</v>
      </c>
      <c r="E193" s="10" t="n">
        <v>0.012</v>
      </c>
      <c r="F193" s="10" t="n">
        <v>0.015</v>
      </c>
      <c r="G193" s="10" t="n">
        <v>0.017</v>
      </c>
      <c r="H193" s="10" t="n">
        <v>0.022</v>
      </c>
      <c r="I193" s="10" t="n">
        <v>0.024</v>
      </c>
      <c r="J193" s="10" t="n">
        <v>0.027</v>
      </c>
    </row>
    <row r="194">
      <c r="A194" t="inlineStr">
        <is>
          <t>CAST IRON-DUCTILE</t>
        </is>
      </c>
      <c r="B194" s="10" t="inlineStr">
        <is>
          <t>-</t>
        </is>
      </c>
      <c r="C194" s="10" t="n">
        <v>0.004</v>
      </c>
      <c r="D194" s="10" t="n">
        <v>0.005</v>
      </c>
      <c r="E194" s="10" t="n">
        <v>0.006</v>
      </c>
      <c r="F194" s="10" t="n">
        <v>0.007</v>
      </c>
      <c r="G194" s="10" t="n">
        <v>0.008</v>
      </c>
      <c r="H194" s="10" t="n">
        <v>0.01</v>
      </c>
      <c r="I194" s="10" t="inlineStr">
        <is>
          <t>-</t>
        </is>
      </c>
      <c r="J194" s="10" t="inlineStr">
        <is>
          <t>-</t>
        </is>
      </c>
    </row>
    <row r="195">
      <c r="A195" t="inlineStr">
        <is>
          <t>MARTENSITIC &amp; PEARLITIC-MARTENSITIC</t>
        </is>
      </c>
      <c r="B195" s="10" t="inlineStr">
        <is>
          <t>-</t>
        </is>
      </c>
      <c r="C195" s="10" t="n">
        <v>0.008</v>
      </c>
      <c r="D195" s="10" t="n">
        <v>0.008999999999999999</v>
      </c>
      <c r="E195" s="10" t="n">
        <v>0.01</v>
      </c>
      <c r="F195" s="10" t="n">
        <v>0.011</v>
      </c>
      <c r="G195" s="10" t="n">
        <v>0.013</v>
      </c>
      <c r="H195" s="10" t="n">
        <v>0.014</v>
      </c>
      <c r="I195" s="10" t="n">
        <v>0.017</v>
      </c>
      <c r="J195" s="10" t="n">
        <v>0.019</v>
      </c>
    </row>
    <row r="196">
      <c r="A196" t="inlineStr">
        <is>
          <t>CAST IRON-GRAY</t>
        </is>
      </c>
      <c r="B196" s="10" t="inlineStr">
        <is>
          <t>-</t>
        </is>
      </c>
      <c r="C196" s="10" t="n">
        <v>0.004</v>
      </c>
      <c r="D196" s="10" t="n">
        <v>0.006</v>
      </c>
      <c r="E196" s="10" t="n">
        <v>0.008</v>
      </c>
      <c r="F196" s="10" t="n">
        <v>0.01</v>
      </c>
      <c r="G196" s="10" t="n">
        <v>0.012</v>
      </c>
      <c r="H196" s="10" t="n">
        <v>0.015</v>
      </c>
      <c r="I196" s="10" t="inlineStr">
        <is>
          <t>-</t>
        </is>
      </c>
      <c r="J196" s="10" t="inlineStr">
        <is>
          <t>-</t>
        </is>
      </c>
    </row>
    <row r="197">
      <c r="A197" t="inlineStr">
        <is>
          <t>FERRITIC &amp; FERRITIC-PEARLITIC</t>
        </is>
      </c>
      <c r="B197" s="10" t="inlineStr">
        <is>
          <t>-</t>
        </is>
      </c>
      <c r="C197" s="10" t="n">
        <v>0.01</v>
      </c>
      <c r="D197" s="10" t="n">
        <v>0.013</v>
      </c>
      <c r="E197" s="10" t="n">
        <v>0.014</v>
      </c>
      <c r="F197" s="10" t="n">
        <v>0.017</v>
      </c>
      <c r="G197" s="10" t="n">
        <v>0.02</v>
      </c>
      <c r="H197" s="10" t="n">
        <v>0.024</v>
      </c>
      <c r="I197" s="10" t="n">
        <v>0.028</v>
      </c>
      <c r="J197" s="10" t="n">
        <v>0.03</v>
      </c>
    </row>
    <row r="198">
      <c r="A198" t="inlineStr">
        <is>
          <t>CAST IRON-GRAY</t>
        </is>
      </c>
      <c r="B198" s="10" t="inlineStr">
        <is>
          <t>-</t>
        </is>
      </c>
      <c r="C198" s="10" t="n">
        <v>0.004</v>
      </c>
      <c r="D198" s="10" t="n">
        <v>0.006</v>
      </c>
      <c r="E198" s="10" t="n">
        <v>0.008</v>
      </c>
      <c r="F198" s="10" t="n">
        <v>0.01</v>
      </c>
      <c r="G198" s="10" t="n">
        <v>0.012</v>
      </c>
      <c r="H198" s="10" t="n">
        <v>0.015</v>
      </c>
      <c r="I198" s="10" t="inlineStr">
        <is>
          <t>-</t>
        </is>
      </c>
      <c r="J198" s="10" t="inlineStr">
        <is>
          <t>-</t>
        </is>
      </c>
    </row>
    <row r="199">
      <c r="A199" t="inlineStr">
        <is>
          <t>PEARLITIC</t>
        </is>
      </c>
      <c r="B199" s="10" t="inlineStr">
        <is>
          <t>-</t>
        </is>
      </c>
      <c r="C199" s="10" t="n">
        <v>0.008</v>
      </c>
      <c r="D199" s="10" t="n">
        <v>0.01</v>
      </c>
      <c r="E199" s="10" t="n">
        <v>0.012</v>
      </c>
      <c r="F199" s="10" t="n">
        <v>0.014</v>
      </c>
      <c r="G199" s="10" t="n">
        <v>0.015</v>
      </c>
      <c r="H199" s="10" t="n">
        <v>0.018</v>
      </c>
      <c r="I199" s="10" t="n">
        <v>0.02</v>
      </c>
      <c r="J199" s="10" t="n">
        <v>0.026</v>
      </c>
    </row>
    <row r="200">
      <c r="A200" t="inlineStr">
        <is>
          <t>CAST IRON-MALLEABLE</t>
        </is>
      </c>
      <c r="B200" s="10" t="inlineStr">
        <is>
          <t>-</t>
        </is>
      </c>
      <c r="C200" s="10" t="n">
        <v>0.004</v>
      </c>
      <c r="D200" s="10" t="n">
        <v>0.006</v>
      </c>
      <c r="E200" s="10" t="n">
        <v>0.008</v>
      </c>
      <c r="F200" s="10" t="n">
        <v>0.008</v>
      </c>
      <c r="G200" s="10" t="n">
        <v>0.008</v>
      </c>
      <c r="H200" s="10" t="n">
        <v>0.01</v>
      </c>
      <c r="I200" s="10" t="inlineStr">
        <is>
          <t>-</t>
        </is>
      </c>
      <c r="J200" s="10" t="inlineStr">
        <is>
          <t>-</t>
        </is>
      </c>
    </row>
    <row r="201">
      <c r="A201" t="inlineStr">
        <is>
          <t>FERRITIC &amp; PEARLITIC</t>
        </is>
      </c>
      <c r="B201" s="10" t="inlineStr">
        <is>
          <t>-</t>
        </is>
      </c>
      <c r="C201" s="10" t="n">
        <v>0.007</v>
      </c>
      <c r="D201" s="10" t="n">
        <v>0.012</v>
      </c>
      <c r="E201" s="10" t="n">
        <v>0.014</v>
      </c>
      <c r="F201" s="10" t="n">
        <v>0.014</v>
      </c>
      <c r="G201" s="10" t="n">
        <v>0.014</v>
      </c>
      <c r="H201" s="10" t="n">
        <v>0.017</v>
      </c>
      <c r="I201" s="10" t="n">
        <v>0.02</v>
      </c>
      <c r="J201" s="10" t="n">
        <v>0.022</v>
      </c>
    </row>
    <row r="202">
      <c r="A202" t="inlineStr">
        <is>
          <t>CAST IRON-MALLEABLE</t>
        </is>
      </c>
      <c r="B202" s="10" t="inlineStr">
        <is>
          <t>-</t>
        </is>
      </c>
      <c r="C202" s="10" t="n">
        <v>0.004</v>
      </c>
      <c r="D202" s="10" t="n">
        <v>0.005</v>
      </c>
      <c r="E202" s="10" t="n">
        <v>0.006</v>
      </c>
      <c r="F202" s="10" t="n">
        <v>0.007</v>
      </c>
      <c r="G202" s="10" t="n">
        <v>0.008</v>
      </c>
      <c r="H202" s="10" t="n">
        <v>0.01</v>
      </c>
      <c r="I202" s="10" t="inlineStr">
        <is>
          <t>-</t>
        </is>
      </c>
      <c r="J202" s="10" t="inlineStr">
        <is>
          <t>-</t>
        </is>
      </c>
    </row>
    <row r="203">
      <c r="A203" t="inlineStr">
        <is>
          <t>TEMPERED MARTENSITE</t>
        </is>
      </c>
      <c r="B203" s="10" t="inlineStr">
        <is>
          <t>-</t>
        </is>
      </c>
      <c r="C203" s="10" t="n">
        <v>0.008</v>
      </c>
      <c r="D203" s="10" t="n">
        <v>0.01</v>
      </c>
      <c r="E203" s="10" t="n">
        <v>0.012</v>
      </c>
      <c r="F203" s="10" t="n">
        <v>0.014</v>
      </c>
      <c r="G203" s="10" t="n">
        <v>0.015</v>
      </c>
      <c r="H203" s="10" t="n">
        <v>0.02</v>
      </c>
      <c r="I203" s="10" t="n">
        <v>0.023</v>
      </c>
      <c r="J203" s="10" t="n">
        <v>0.03</v>
      </c>
    </row>
    <row r="204">
      <c r="A204" t="inlineStr">
        <is>
          <t>STEEL-LOW &amp; MEDIUM STRENGTH</t>
        </is>
      </c>
      <c r="B204" s="10" t="inlineStr">
        <is>
          <t>-</t>
        </is>
      </c>
      <c r="C204" s="10" t="n">
        <v>0.005</v>
      </c>
      <c r="D204" s="10" t="n">
        <v>0.006</v>
      </c>
      <c r="E204" s="10" t="n">
        <v>0.008</v>
      </c>
      <c r="F204" s="10" t="n">
        <v>0.008999999999999999</v>
      </c>
      <c r="G204" s="10" t="n">
        <v>0.01</v>
      </c>
      <c r="H204" s="10" t="n">
        <v>0.012</v>
      </c>
      <c r="I204" s="10" t="inlineStr">
        <is>
          <t>-</t>
        </is>
      </c>
      <c r="J204" s="10" t="inlineStr">
        <is>
          <t>-</t>
        </is>
      </c>
    </row>
    <row r="205">
      <c r="A205" t="inlineStr">
        <is>
          <t>FREE MACHINING</t>
        </is>
      </c>
      <c r="B205" s="10" t="inlineStr">
        <is>
          <t>-</t>
        </is>
      </c>
      <c r="C205" s="10" t="n">
        <v>0.012</v>
      </c>
      <c r="D205" s="10" t="n">
        <v>0.014</v>
      </c>
      <c r="E205" s="10" t="n">
        <v>0.016</v>
      </c>
      <c r="F205" s="10" t="n">
        <v>0.018</v>
      </c>
      <c r="G205" s="10" t="n">
        <v>0.02</v>
      </c>
      <c r="H205" s="10" t="n">
        <v>0.025</v>
      </c>
      <c r="I205" s="10" t="n">
        <v>0.03</v>
      </c>
      <c r="J205" s="10" t="n">
        <v>0.035</v>
      </c>
    </row>
    <row r="206">
      <c r="A206" t="inlineStr">
        <is>
          <t>STEEL-LOW &amp; MEDIUM STRENGTH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-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</row>
    <row r="207">
      <c r="A207" t="inlineStr">
        <is>
          <t>WROUGHT</t>
        </is>
      </c>
      <c r="B207" s="10" t="inlineStr">
        <is>
          <t>-</t>
        </is>
      </c>
      <c r="C207" s="10" t="n">
        <v>0.008999999999999999</v>
      </c>
      <c r="D207" s="10" t="n">
        <v>0.011</v>
      </c>
      <c r="E207" s="10" t="n">
        <v>0.013</v>
      </c>
      <c r="F207" s="10" t="n">
        <v>0.015</v>
      </c>
      <c r="G207" s="10" t="n">
        <v>0.017</v>
      </c>
      <c r="H207" s="10" t="n">
        <v>0.022</v>
      </c>
      <c r="I207" s="10" t="n">
        <v>0.024</v>
      </c>
      <c r="J207" s="10" t="n">
        <v>0.026</v>
      </c>
    </row>
    <row r="208">
      <c r="A208" t="inlineStr">
        <is>
          <t>ALLOY STEEL-LOW &amp; MEDIUM STRENGTH</t>
        </is>
      </c>
      <c r="B208" s="10" t="inlineStr">
        <is>
          <t>-</t>
        </is>
      </c>
      <c r="C208" s="10" t="n">
        <v>0.005</v>
      </c>
      <c r="D208" s="10" t="n">
        <v>0.006</v>
      </c>
      <c r="E208" s="10" t="n">
        <v>0.007</v>
      </c>
      <c r="F208" s="10" t="n">
        <v>0.008</v>
      </c>
      <c r="G208" s="10" t="n">
        <v>0.01</v>
      </c>
      <c r="H208" s="10" t="n">
        <v>0.012</v>
      </c>
      <c r="I208" s="10" t="inlineStr">
        <is>
          <t>-</t>
        </is>
      </c>
      <c r="J208" s="10" t="inlineStr">
        <is>
          <t>-</t>
        </is>
      </c>
    </row>
    <row r="209">
      <c r="A209" t="inlineStr">
        <is>
          <t>FREE MACHINING</t>
        </is>
      </c>
      <c r="B209" s="10" t="inlineStr">
        <is>
          <t>-</t>
        </is>
      </c>
      <c r="C209" s="10" t="n">
        <v>0.01</v>
      </c>
      <c r="D209" s="10" t="n">
        <v>0.012</v>
      </c>
      <c r="E209" s="10" t="n">
        <v>0.018</v>
      </c>
      <c r="F209" s="10" t="n">
        <v>0.02</v>
      </c>
      <c r="G209" s="10" t="n">
        <v>0.022</v>
      </c>
      <c r="H209" s="10" t="n">
        <v>0.025</v>
      </c>
      <c r="I209" s="10" t="n">
        <v>0.027</v>
      </c>
      <c r="J209" s="10" t="n">
        <v>0.03</v>
      </c>
    </row>
    <row r="210">
      <c r="A210" t="inlineStr">
        <is>
          <t>ALLOY STEEL-LOW &amp; MEDIUM STRENGTH</t>
        </is>
      </c>
      <c r="B210" s="10" t="inlineStr">
        <is>
          <t>-</t>
        </is>
      </c>
      <c r="C210" s="10" t="n">
        <v>0.005</v>
      </c>
      <c r="D210" s="10" t="n">
        <v>0.006</v>
      </c>
      <c r="E210" s="10" t="n">
        <v>0.007</v>
      </c>
      <c r="F210" s="10" t="n">
        <v>0.008</v>
      </c>
      <c r="G210" s="10" t="n">
        <v>0.01</v>
      </c>
      <c r="H210" s="10" t="n">
        <v>0.012</v>
      </c>
      <c r="I210" s="10" t="inlineStr">
        <is>
          <t>-</t>
        </is>
      </c>
      <c r="J210" s="10" t="inlineStr">
        <is>
          <t>-</t>
        </is>
      </c>
    </row>
    <row r="211">
      <c r="A211" t="inlineStr">
        <is>
          <t>ALLOY STEEL-LOW &amp; MEDIUM STRENGTH</t>
        </is>
      </c>
      <c r="B211" s="10" t="inlineStr">
        <is>
          <t>-</t>
        </is>
      </c>
      <c r="C211" s="10" t="n">
        <v>0.012</v>
      </c>
      <c r="D211" s="10" t="n">
        <v>0.015</v>
      </c>
      <c r="E211" s="10" t="n">
        <v>0.018</v>
      </c>
      <c r="F211" s="10" t="n">
        <v>0.022</v>
      </c>
      <c r="G211" s="10" t="n">
        <v>0.024</v>
      </c>
      <c r="H211" s="10" t="n">
        <v>0.028</v>
      </c>
      <c r="I211" s="10" t="n">
        <v>0.03</v>
      </c>
      <c r="J211" s="10" t="n">
        <v>0.033</v>
      </c>
    </row>
    <row r="212">
      <c r="A212" t="inlineStr">
        <is>
          <t>STAINLESS STEEL 400 SERIES</t>
        </is>
      </c>
      <c r="B212" s="10" t="inlineStr">
        <is>
          <t>-</t>
        </is>
      </c>
      <c r="C212" s="10" t="n">
        <v>0.004</v>
      </c>
      <c r="D212" s="10" t="n">
        <v>0.005</v>
      </c>
      <c r="E212" s="10" t="n">
        <v>0.006</v>
      </c>
      <c r="F212" s="10" t="n">
        <v>0.007</v>
      </c>
      <c r="G212" s="10" t="n">
        <v>0.008</v>
      </c>
      <c r="H212" s="10" t="n">
        <v>0.01</v>
      </c>
      <c r="I212" s="10" t="inlineStr">
        <is>
          <t>-</t>
        </is>
      </c>
      <c r="J212" s="10" t="inlineStr">
        <is>
          <t>-</t>
        </is>
      </c>
    </row>
    <row r="213">
      <c r="A213" t="inlineStr">
        <is>
          <t>STAINLESS STEEL 400 SERIES</t>
        </is>
      </c>
      <c r="B213" s="10" t="inlineStr">
        <is>
          <t>-</t>
        </is>
      </c>
      <c r="C213" s="10" t="n">
        <v>0.007</v>
      </c>
      <c r="D213" s="10" t="n">
        <v>0.007</v>
      </c>
      <c r="E213" s="10" t="n">
        <v>0.008</v>
      </c>
      <c r="F213" s="10" t="n">
        <v>0.008999999999999999</v>
      </c>
      <c r="G213" s="10" t="n">
        <v>0.008999999999999999</v>
      </c>
      <c r="H213" s="10" t="n">
        <v>0.012</v>
      </c>
      <c r="I213" s="10" t="n">
        <v>0.014</v>
      </c>
      <c r="J213" s="10" t="n">
        <v>0.015</v>
      </c>
    </row>
    <row r="214">
      <c r="A214" t="inlineStr">
        <is>
          <t>STAINLESS STEEL</t>
        </is>
      </c>
      <c r="B214" s="10" t="inlineStr">
        <is>
          <t>-</t>
        </is>
      </c>
      <c r="C214" s="10" t="n">
        <v>0.004</v>
      </c>
      <c r="D214" s="10" t="n">
        <v>0.005</v>
      </c>
      <c r="E214" s="10" t="n">
        <v>0.006</v>
      </c>
      <c r="F214" s="10" t="n">
        <v>0.007</v>
      </c>
      <c r="G214" s="10" t="n">
        <v>0.007</v>
      </c>
      <c r="H214" s="10" t="n">
        <v>0.008</v>
      </c>
      <c r="I214" s="10" t="inlineStr">
        <is>
          <t>-</t>
        </is>
      </c>
      <c r="J214" s="10" t="inlineStr">
        <is>
          <t>-</t>
        </is>
      </c>
    </row>
    <row r="215">
      <c r="A215" t="inlineStr">
        <is>
          <t>FREE MACHINING</t>
        </is>
      </c>
      <c r="B215" s="10" t="inlineStr">
        <is>
          <t>-</t>
        </is>
      </c>
      <c r="C215" s="10" t="n">
        <v>0.008</v>
      </c>
      <c r="D215" s="10" t="n">
        <v>0.008999999999999999</v>
      </c>
      <c r="E215" s="10" t="n">
        <v>0.01</v>
      </c>
      <c r="F215" s="10" t="n">
        <v>0.011</v>
      </c>
      <c r="G215" s="10" t="n">
        <v>0.012</v>
      </c>
      <c r="H215" s="10" t="n">
        <v>0.013</v>
      </c>
      <c r="I215" s="10" t="n">
        <v>0.013</v>
      </c>
      <c r="J215" s="10" t="n">
        <v>0.014</v>
      </c>
    </row>
    <row r="216">
      <c r="A216" t="inlineStr">
        <is>
          <t>ALLOY STEEL - HIGH STRENGTH, MARAGING</t>
        </is>
      </c>
      <c r="B216" s="10" t="inlineStr">
        <is>
          <t>-</t>
        </is>
      </c>
      <c r="C216" s="10" t="n">
        <v>0.004</v>
      </c>
      <c r="D216" s="10" t="n">
        <v>0.006</v>
      </c>
      <c r="E216" s="10" t="n">
        <v>0.007</v>
      </c>
      <c r="F216" s="10" t="n">
        <v>0.008</v>
      </c>
      <c r="G216" s="10" t="n">
        <v>0.01</v>
      </c>
      <c r="H216" s="10" t="n">
        <v>0.012</v>
      </c>
      <c r="I216" s="10" t="inlineStr">
        <is>
          <t>-</t>
        </is>
      </c>
      <c r="J216" s="10" t="inlineStr">
        <is>
          <t>-</t>
        </is>
      </c>
    </row>
    <row r="217">
      <c r="A217" t="inlineStr">
        <is>
          <t>STEEL, NITRIDING STEEL, TOOL STEEL</t>
        </is>
      </c>
      <c r="B217" s="10" t="inlineStr">
        <is>
          <t>-</t>
        </is>
      </c>
      <c r="C217" s="10" t="n">
        <v>0.007</v>
      </c>
      <c r="D217" s="10" t="n">
        <v>0.008</v>
      </c>
      <c r="E217" s="10" t="n">
        <v>0.008999999999999999</v>
      </c>
      <c r="F217" s="10" t="n">
        <v>0.011</v>
      </c>
      <c r="G217" s="10" t="n">
        <v>0.012</v>
      </c>
      <c r="H217" s="10" t="n">
        <v>0.014</v>
      </c>
      <c r="I217" s="10" t="n">
        <v>0.015</v>
      </c>
      <c r="J217" s="10" t="n">
        <v>0.016</v>
      </c>
    </row>
    <row r="218">
      <c r="A218" t="inlineStr">
        <is>
          <t>HIGH TEMP ALLOY</t>
        </is>
      </c>
      <c r="B218" s="10" t="inlineStr">
        <is>
          <t>-</t>
        </is>
      </c>
      <c r="C218" s="10" t="n">
        <v>0.002</v>
      </c>
      <c r="D218" s="10" t="n">
        <v>0.003</v>
      </c>
      <c r="E218" s="10" t="n">
        <v>0.004</v>
      </c>
      <c r="F218" s="10" t="n">
        <v>0.005</v>
      </c>
      <c r="G218" s="10" t="n">
        <v>0.006</v>
      </c>
      <c r="H218" s="10" t="n">
        <v>0.007</v>
      </c>
      <c r="I218" s="10" t="inlineStr">
        <is>
          <t>-</t>
        </is>
      </c>
      <c r="J218" s="10" t="inlineStr">
        <is>
          <t>-</t>
        </is>
      </c>
    </row>
    <row r="219">
      <c r="A219" t="inlineStr">
        <is>
          <t>NICKEL &amp; IRON</t>
        </is>
      </c>
      <c r="B219" s="10" t="inlineStr">
        <is>
          <t>-</t>
        </is>
      </c>
      <c r="C219" s="10" t="n">
        <v>0.006</v>
      </c>
      <c r="D219" s="10" t="n">
        <v>0.007</v>
      </c>
      <c r="E219" s="10" t="n">
        <v>0.007</v>
      </c>
      <c r="F219" s="10" t="n">
        <v>0.008</v>
      </c>
      <c r="G219" s="10" t="n">
        <v>0.008</v>
      </c>
      <c r="H219" s="10" t="n">
        <v>0.01</v>
      </c>
      <c r="I219" s="10" t="n">
        <v>0.012</v>
      </c>
      <c r="J219" s="10" t="n">
        <v>0.015</v>
      </c>
    </row>
    <row r="220">
      <c r="A220" t="inlineStr">
        <is>
          <t>STAINLESS STEEL 300 SERIES</t>
        </is>
      </c>
      <c r="B220" s="10" t="inlineStr">
        <is>
          <t>-</t>
        </is>
      </c>
      <c r="C220" s="10" t="n">
        <v>0.003</v>
      </c>
      <c r="D220" s="10" t="n">
        <v>0.004</v>
      </c>
      <c r="E220" s="10" t="n">
        <v>0.005</v>
      </c>
      <c r="F220" s="10" t="n">
        <v>0.006</v>
      </c>
      <c r="G220" s="10" t="n">
        <v>0.007</v>
      </c>
      <c r="H220" s="10" t="n">
        <v>0.008</v>
      </c>
      <c r="I220" s="10" t="inlineStr">
        <is>
          <t>-</t>
        </is>
      </c>
      <c r="J220" s="10" t="inlineStr">
        <is>
          <t>-</t>
        </is>
      </c>
    </row>
    <row r="221">
      <c r="A221" t="inlineStr">
        <is>
          <t>STAINLESS STEEL 300 SERIES</t>
        </is>
      </c>
      <c r="B221" s="10" t="inlineStr">
        <is>
          <t>-</t>
        </is>
      </c>
      <c r="C221" s="10" t="n">
        <v>0.006</v>
      </c>
      <c r="D221" s="10" t="n">
        <v>0.007</v>
      </c>
      <c r="E221" s="10" t="n">
        <v>0.008</v>
      </c>
      <c r="F221" s="10" t="n">
        <v>0.008</v>
      </c>
      <c r="G221" s="10" t="n">
        <v>0.008999999999999999</v>
      </c>
      <c r="H221" s="10" t="n">
        <v>0.01</v>
      </c>
      <c r="I221" s="10" t="n">
        <v>0.011</v>
      </c>
      <c r="J221" s="10" t="n">
        <v>0.012</v>
      </c>
    </row>
    <row r="222">
      <c r="A222" t="inlineStr">
        <is>
          <t>STAINLESS STEEL PH SERIES</t>
        </is>
      </c>
      <c r="B222" s="10" t="inlineStr">
        <is>
          <t>-</t>
        </is>
      </c>
      <c r="C222" s="10" t="n">
        <v>0.002</v>
      </c>
      <c r="D222" s="10" t="n">
        <v>0.003</v>
      </c>
      <c r="E222" s="10" t="n">
        <v>0.004</v>
      </c>
      <c r="F222" s="10" t="n">
        <v>0.005</v>
      </c>
      <c r="G222" s="10" t="n">
        <v>0.006</v>
      </c>
      <c r="H222" s="10" t="n">
        <v>0.007</v>
      </c>
      <c r="I222" s="10" t="inlineStr">
        <is>
          <t>-</t>
        </is>
      </c>
      <c r="J222" s="10" t="inlineStr">
        <is>
          <t>-</t>
        </is>
      </c>
    </row>
    <row r="223">
      <c r="A223" t="inlineStr">
        <is>
          <t>STAINLESS STEEL PH SERIES</t>
        </is>
      </c>
      <c r="B223" s="10" t="inlineStr">
        <is>
          <t>-</t>
        </is>
      </c>
      <c r="C223" s="10" t="n">
        <v>0.006</v>
      </c>
      <c r="D223" s="10" t="n">
        <v>0.006</v>
      </c>
      <c r="E223" s="10" t="n">
        <v>0.007</v>
      </c>
      <c r="F223" s="10" t="n">
        <v>0.008</v>
      </c>
      <c r="G223" s="10" t="n">
        <v>0.008999999999999999</v>
      </c>
      <c r="H223" s="10" t="n">
        <v>0.01</v>
      </c>
      <c r="I223" s="10" t="n">
        <v>0.012</v>
      </c>
      <c r="J223" s="10" t="n">
        <v>0.014</v>
      </c>
    </row>
    <row r="224">
      <c r="A224" t="inlineStr">
        <is>
          <t>TITANIUM ALLOY</t>
        </is>
      </c>
      <c r="B224" s="10" t="inlineStr">
        <is>
          <t>-</t>
        </is>
      </c>
      <c r="C224" s="10" t="n">
        <v>0.002</v>
      </c>
      <c r="D224" s="10" t="n">
        <v>0.003</v>
      </c>
      <c r="E224" s="10" t="n">
        <v>0.004</v>
      </c>
      <c r="F224" s="10" t="n">
        <v>0.005</v>
      </c>
      <c r="G224" s="10" t="n">
        <v>0.006</v>
      </c>
      <c r="H224" s="10" t="n">
        <v>0.007</v>
      </c>
      <c r="I224" s="10" t="inlineStr">
        <is>
          <t>-</t>
        </is>
      </c>
      <c r="J224" s="10" t="inlineStr">
        <is>
          <t>-</t>
        </is>
      </c>
    </row>
    <row r="225">
      <c r="A225" t="inlineStr">
        <is>
          <t>TITANIUM ALLOY</t>
        </is>
      </c>
      <c r="B225" s="10" t="inlineStr">
        <is>
          <t>-</t>
        </is>
      </c>
      <c r="C225" s="10" t="n">
        <v>0.008</v>
      </c>
      <c r="D225" s="10" t="n">
        <v>0.01</v>
      </c>
      <c r="E225" s="10" t="n">
        <v>0.013</v>
      </c>
      <c r="F225" s="10" t="n">
        <v>0.014</v>
      </c>
      <c r="G225" s="10" t="n">
        <v>0.014</v>
      </c>
      <c r="H225" s="10" t="n">
        <v>0.016</v>
      </c>
      <c r="I225" s="10" t="n">
        <v>0.016</v>
      </c>
      <c r="J225" s="10" t="n">
        <v>0.018</v>
      </c>
    </row>
  </sheetData>
  <pageMargins left="0.75" right="0.75" top="1" bottom="1" header="0.5" footer="0.5"/>
  <headerFooter>
    <oddHeader>&amp;C&amp;9 H38 Quick Calc — Highway 38 Solutions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30" customWidth="1" min="3" max="3"/>
    <col width="10" customWidth="1" min="8" max="8"/>
    <col width="12" customWidth="1" min="9" max="9"/>
    <col width="12" customWidth="1" min="10" max="10"/>
  </cols>
  <sheetData>
    <row r="1">
      <c r="A1" s="1" t="inlineStr">
        <is>
          <t>THREADING</t>
        </is>
      </c>
    </row>
    <row r="2">
      <c r="A2" s="2" t="inlineStr">
        <is>
          <t>H38 Quick Calc · Highway 38 Solutions — depths, passes, helix and the diminishing infeed schedule.</t>
        </is>
      </c>
    </row>
    <row r="4">
      <c r="A4" s="2" t="inlineStr">
        <is>
          <t>Lookup charts (right) are the workbook’s chart values, as shipped in the app.</t>
        </is>
      </c>
      <c r="H4" s="3" t="inlineStr">
        <is>
          <t>Acme TPI</t>
        </is>
      </c>
      <c r="I4" s="3" t="inlineStr">
        <is>
          <t>Passes</t>
        </is>
      </c>
    </row>
    <row r="5">
      <c r="A5" s="5" t="inlineStr">
        <is>
          <t>1 — 60° UN — depths &amp; passes (ASME B1.1 standard depths)</t>
        </is>
      </c>
      <c r="H5" t="n">
        <v>2</v>
      </c>
      <c r="I5" t="n">
        <v>20</v>
      </c>
    </row>
    <row r="6">
      <c r="A6" t="inlineStr">
        <is>
          <t>Threads per inch (TPI)</t>
        </is>
      </c>
      <c r="B6" s="16" t="n">
        <v>12</v>
      </c>
      <c r="H6" t="n">
        <v>3</v>
      </c>
      <c r="I6" t="n">
        <v>18</v>
      </c>
    </row>
    <row r="7">
      <c r="A7" t="inlineStr">
        <is>
          <t>Pitch (in)</t>
        </is>
      </c>
      <c r="B7" s="13">
        <f>1/B6</f>
        <v/>
      </c>
      <c r="H7" t="n">
        <v>4</v>
      </c>
      <c r="I7" t="n">
        <v>17</v>
      </c>
    </row>
    <row r="8">
      <c r="A8" t="inlineStr">
        <is>
          <t>Passes</t>
        </is>
      </c>
      <c r="B8" s="18">
        <f>FLOOR(72/B6+2,1)</f>
        <v/>
      </c>
      <c r="H8" t="n">
        <v>5</v>
      </c>
      <c r="I8" t="n">
        <v>15</v>
      </c>
    </row>
    <row r="9">
      <c r="A9" s="3" t="inlineStr">
        <is>
          <t>External depth (in)</t>
        </is>
      </c>
      <c r="B9" s="20">
        <f>0.6134/B6</f>
        <v/>
      </c>
      <c r="H9" t="n">
        <v>6</v>
      </c>
      <c r="I9" t="n">
        <v>13</v>
      </c>
    </row>
    <row r="10">
      <c r="A10" s="3" t="inlineStr">
        <is>
          <t>Internal depth (in)</t>
        </is>
      </c>
      <c r="B10" s="20">
        <f>0.54127/B6</f>
        <v/>
      </c>
      <c r="H10" t="n">
        <v>8</v>
      </c>
      <c r="I10" t="n">
        <v>12</v>
      </c>
    </row>
    <row r="11">
      <c r="H11" t="n">
        <v>10</v>
      </c>
      <c r="I11" t="n">
        <v>10</v>
      </c>
    </row>
    <row r="12">
      <c r="A12" s="5" t="inlineStr">
        <is>
          <t>2 — ACME — chart passes &amp; depths</t>
        </is>
      </c>
      <c r="H12" t="n">
        <v>12</v>
      </c>
      <c r="I12" t="n">
        <v>8</v>
      </c>
    </row>
    <row r="13">
      <c r="A13" t="inlineStr">
        <is>
          <t>Threads per inch (TPI)</t>
        </is>
      </c>
      <c r="B13" s="16" t="n">
        <v>6</v>
      </c>
      <c r="H13" t="n">
        <v>14</v>
      </c>
      <c r="I13" t="n">
        <v>7</v>
      </c>
    </row>
    <row r="14">
      <c r="A14" t="inlineStr">
        <is>
          <t>Passes</t>
        </is>
      </c>
      <c r="B14" s="18">
        <f>IFERROR(INDEX($I$5:$I$14,MATCH(B13,$H$5:$H$14,0)),"not in chart")</f>
        <v/>
      </c>
      <c r="H14" t="n">
        <v>16</v>
      </c>
      <c r="I14" t="n">
        <v>6</v>
      </c>
    </row>
    <row r="15">
      <c r="A15" t="inlineStr">
        <is>
          <t>External depth (in)</t>
        </is>
      </c>
      <c r="B15" s="10">
        <f>IFERROR(INDEX($I$17:$I$32,MATCH(B13,$H$17:$H$32,0)),"not in chart")</f>
        <v/>
      </c>
    </row>
    <row r="16">
      <c r="A16" t="inlineStr">
        <is>
          <t>Internal depth (in)</t>
        </is>
      </c>
      <c r="B16" s="10">
        <f>IFERROR(INDEX($J$17:$J$32,MATCH(B13,$H$17:$H$32,0)),"not in chart")</f>
        <v/>
      </c>
      <c r="H16" s="3" t="inlineStr">
        <is>
          <t>Acme depth TPI</t>
        </is>
      </c>
      <c r="I16" s="3" t="inlineStr">
        <is>
          <t>Ext</t>
        </is>
      </c>
      <c r="J16" s="3" t="inlineStr">
        <is>
          <t>Int</t>
        </is>
      </c>
    </row>
    <row r="17">
      <c r="H17" t="n">
        <v>1</v>
      </c>
      <c r="I17" t="inlineStr">
        <is>
          <t>N/A</t>
        </is>
      </c>
      <c r="J17" t="inlineStr">
        <is>
          <t>N/A</t>
        </is>
      </c>
    </row>
    <row r="18">
      <c r="A18" s="5" t="inlineStr">
        <is>
          <t>3 — STUB ACME — standard 0.3×P depths, chart passes</t>
        </is>
      </c>
      <c r="H18" t="n">
        <v>2</v>
      </c>
      <c r="I18" t="n">
        <v>0.265</v>
      </c>
      <c r="J18" t="n">
        <v>0.265</v>
      </c>
    </row>
    <row r="19">
      <c r="A19" t="inlineStr">
        <is>
          <t>Threads per inch (TPI)</t>
        </is>
      </c>
      <c r="B19" s="16" t="n">
        <v>12</v>
      </c>
      <c r="H19" t="n">
        <v>3</v>
      </c>
      <c r="I19" t="n">
        <v>0.18</v>
      </c>
      <c r="J19" t="n">
        <v>0.182</v>
      </c>
    </row>
    <row r="20">
      <c r="A20" t="inlineStr">
        <is>
          <t>Passes</t>
        </is>
      </c>
      <c r="B20" s="18">
        <f>IFERROR(INDEX($I$35:$I$50,MATCH(B19,$H$35:$H$50,0)),"not in chart")</f>
        <v/>
      </c>
      <c r="H20" t="n">
        <v>4</v>
      </c>
      <c r="I20" t="n">
        <v>0.138</v>
      </c>
      <c r="J20" t="n">
        <v>0.142</v>
      </c>
    </row>
    <row r="21">
      <c r="A21" s="3" t="inlineStr">
        <is>
          <t>External depth (in)</t>
        </is>
      </c>
      <c r="B21" s="20">
        <f>0.3/B19</f>
        <v/>
      </c>
      <c r="H21" t="n">
        <v>5</v>
      </c>
      <c r="I21" t="n">
        <v>0.112</v>
      </c>
      <c r="J21" t="n">
        <v>0.114</v>
      </c>
    </row>
    <row r="22">
      <c r="A22" s="3" t="inlineStr">
        <is>
          <t>Internal depth (in)</t>
        </is>
      </c>
      <c r="B22" s="20">
        <f>0.3/B19</f>
        <v/>
      </c>
      <c r="H22" t="n">
        <v>6</v>
      </c>
      <c r="I22" t="n">
        <v>0.095</v>
      </c>
      <c r="J22" t="n">
        <v>0.098</v>
      </c>
    </row>
    <row r="23">
      <c r="H23" t="n">
        <v>7</v>
      </c>
      <c r="I23" t="inlineStr">
        <is>
          <t>N/A</t>
        </is>
      </c>
      <c r="J23" t="inlineStr">
        <is>
          <t>N/A</t>
        </is>
      </c>
    </row>
    <row r="24">
      <c r="A24" s="5" t="inlineStr">
        <is>
          <t>4 — NPT — chart (5 sizes, as shipped)</t>
        </is>
      </c>
      <c r="H24" t="n">
        <v>8</v>
      </c>
      <c r="I24" t="n">
        <v>0.074</v>
      </c>
      <c r="J24" t="n">
        <v>0.076</v>
      </c>
    </row>
    <row r="25">
      <c r="A25" t="inlineStr">
        <is>
          <t>Threads per inch (TPI)</t>
        </is>
      </c>
      <c r="B25" s="16" t="n">
        <v>8</v>
      </c>
      <c r="H25" t="n">
        <v>9</v>
      </c>
      <c r="I25" t="inlineStr">
        <is>
          <t>N/A</t>
        </is>
      </c>
      <c r="J25" t="inlineStr">
        <is>
          <t>N/A</t>
        </is>
      </c>
    </row>
    <row r="26">
      <c r="A26" t="inlineStr">
        <is>
          <t>Passes</t>
        </is>
      </c>
      <c r="B26" s="18">
        <f>IFERROR(INDEX($I$53:$I$57,MATCH(B25,$H$53:$H$57,0)),"not in chart")</f>
        <v/>
      </c>
      <c r="H26" t="n">
        <v>10</v>
      </c>
      <c r="I26" t="n">
        <v>0.063</v>
      </c>
      <c r="J26" t="n">
        <v>0.065</v>
      </c>
    </row>
    <row r="27">
      <c r="A27" t="inlineStr">
        <is>
          <t>Depth (in)</t>
        </is>
      </c>
      <c r="B27" s="10">
        <f>IFERROR(INDEX($J$53:$J$57,MATCH(B25,$H$53:$H$57,0)),"not in chart")</f>
        <v/>
      </c>
      <c r="H27" t="n">
        <v>11</v>
      </c>
      <c r="I27" t="inlineStr">
        <is>
          <t>N/A</t>
        </is>
      </c>
      <c r="J27" t="inlineStr">
        <is>
          <t>N/A</t>
        </is>
      </c>
    </row>
    <row r="28">
      <c r="H28" t="n">
        <v>12</v>
      </c>
      <c r="I28" t="n">
        <v>0.05</v>
      </c>
      <c r="J28" t="n">
        <v>0.051</v>
      </c>
    </row>
    <row r="29">
      <c r="A29" s="5" t="inlineStr">
        <is>
          <t>5 — HELIX ANGLE</t>
        </is>
      </c>
      <c r="H29" t="n">
        <v>13</v>
      </c>
      <c r="I29" t="inlineStr">
        <is>
          <t>N/A</t>
        </is>
      </c>
      <c r="J29" t="inlineStr">
        <is>
          <t>N/A</t>
        </is>
      </c>
    </row>
    <row r="30">
      <c r="A30" t="inlineStr">
        <is>
          <t>Threads per inch (TPI)</t>
        </is>
      </c>
      <c r="B30" s="16" t="n">
        <v>60</v>
      </c>
      <c r="H30" t="n">
        <v>14</v>
      </c>
      <c r="I30" t="n">
        <v>0.042</v>
      </c>
      <c r="J30" t="n">
        <v>0.043</v>
      </c>
    </row>
    <row r="31">
      <c r="A31" t="inlineStr">
        <is>
          <t>Thread diameter (in)</t>
        </is>
      </c>
      <c r="B31" s="7" t="n">
        <v>0.375</v>
      </c>
      <c r="H31" t="n">
        <v>15</v>
      </c>
      <c r="I31" t="inlineStr">
        <is>
          <t>N/A</t>
        </is>
      </c>
      <c r="J31" t="inlineStr">
        <is>
          <t>N/A</t>
        </is>
      </c>
    </row>
    <row r="32">
      <c r="A32" s="3" t="inlineStr">
        <is>
          <t>Helix angle (°)</t>
        </is>
      </c>
      <c r="B32" s="20">
        <f>DEGREES(ATAN((1/B30)/(PI()*B31)))</f>
        <v/>
      </c>
      <c r="H32" t="n">
        <v>16</v>
      </c>
      <c r="I32" t="n">
        <v>0.038</v>
      </c>
      <c r="J32" t="n">
        <v>0.039</v>
      </c>
    </row>
    <row r="34">
      <c r="A34" s="5" t="inlineStr">
        <is>
          <t>6 — INFEED SCHEDULE (constant chip area — cumulative = total × √(n/N))</t>
        </is>
      </c>
      <c r="H34" s="3" t="inlineStr">
        <is>
          <t>Stub TPI</t>
        </is>
      </c>
      <c r="I34" s="3" t="inlineStr">
        <is>
          <t>Passes</t>
        </is>
      </c>
    </row>
    <row r="35">
      <c r="A35" t="inlineStr">
        <is>
          <t>Total radial depth (in)</t>
        </is>
      </c>
      <c r="B35" s="7" t="n">
        <v>0.0511</v>
      </c>
      <c r="H35" t="n">
        <v>1</v>
      </c>
      <c r="I35" t="inlineStr">
        <is>
          <t>N/A</t>
        </is>
      </c>
    </row>
    <row r="36">
      <c r="A36" t="inlineStr">
        <is>
          <t>Passes</t>
        </is>
      </c>
      <c r="B36" s="6" t="n">
        <v>8</v>
      </c>
      <c r="H36" t="n">
        <v>2</v>
      </c>
      <c r="I36" t="n">
        <v>18</v>
      </c>
    </row>
    <row r="37">
      <c r="A37" s="3" t="inlineStr">
        <is>
          <t>Pass</t>
        </is>
      </c>
      <c r="B37" s="3" t="inlineStr">
        <is>
          <t>Infeed</t>
        </is>
      </c>
      <c r="C37" s="3" t="inlineStr">
        <is>
          <t>Cumulative</t>
        </is>
      </c>
      <c r="H37" t="n">
        <v>3</v>
      </c>
      <c r="I37" t="n">
        <v>15</v>
      </c>
    </row>
    <row r="38">
      <c r="A38" t="n">
        <v>1</v>
      </c>
      <c r="B38" s="13">
        <f>IF($A38&lt;=B36,B35*(SQRT($A38/B36)-SQRT(($A38-1)/B36)),"")</f>
        <v/>
      </c>
      <c r="C38" s="13">
        <f>IF($A38&lt;=B36,B35*SQRT($A38/B36),"")</f>
        <v/>
      </c>
      <c r="H38" t="n">
        <v>4</v>
      </c>
      <c r="I38" t="n">
        <v>13</v>
      </c>
    </row>
    <row r="39">
      <c r="A39" t="n">
        <v>2</v>
      </c>
      <c r="B39" s="13">
        <f>IF($A39&lt;=B36,B35*(SQRT($A39/B36)-SQRT(($A39-1)/B36)),"")</f>
        <v/>
      </c>
      <c r="C39" s="13">
        <f>IF($A39&lt;=B36,B35*SQRT($A39/B36),"")</f>
        <v/>
      </c>
      <c r="H39" t="n">
        <v>5</v>
      </c>
      <c r="I39" t="n">
        <v>11</v>
      </c>
    </row>
    <row r="40">
      <c r="A40" t="n">
        <v>3</v>
      </c>
      <c r="B40" s="13">
        <f>IF($A40&lt;=B36,B35*(SQRT($A40/B36)-SQRT(($A40-1)/B36)),"")</f>
        <v/>
      </c>
      <c r="C40" s="13">
        <f>IF($A40&lt;=B36,B35*SQRT($A40/B36),"")</f>
        <v/>
      </c>
      <c r="H40" t="n">
        <v>6</v>
      </c>
      <c r="I40" t="n">
        <v>10</v>
      </c>
    </row>
    <row r="41">
      <c r="A41" t="n">
        <v>4</v>
      </c>
      <c r="B41" s="13">
        <f>IF($A41&lt;=B36,B35*(SQRT($A41/B36)-SQRT(($A41-1)/B36)),"")</f>
        <v/>
      </c>
      <c r="C41" s="13">
        <f>IF($A41&lt;=B36,B35*SQRT($A41/B36),"")</f>
        <v/>
      </c>
      <c r="H41" t="n">
        <v>7</v>
      </c>
      <c r="I41" t="inlineStr">
        <is>
          <t>N/A</t>
        </is>
      </c>
    </row>
    <row r="42">
      <c r="A42" t="n">
        <v>5</v>
      </c>
      <c r="B42" s="13">
        <f>IF($A42&lt;=B36,B35*(SQRT($A42/B36)-SQRT(($A42-1)/B36)),"")</f>
        <v/>
      </c>
      <c r="C42" s="13">
        <f>IF($A42&lt;=B36,B35*SQRT($A42/B36),"")</f>
        <v/>
      </c>
      <c r="H42" t="n">
        <v>8</v>
      </c>
      <c r="I42" t="n">
        <v>9</v>
      </c>
    </row>
    <row r="43">
      <c r="A43" t="n">
        <v>6</v>
      </c>
      <c r="B43" s="13">
        <f>IF($A43&lt;=B36,B35*(SQRT($A43/B36)-SQRT(($A43-1)/B36)),"")</f>
        <v/>
      </c>
      <c r="C43" s="13">
        <f>IF($A43&lt;=B36,B35*SQRT($A43/B36),"")</f>
        <v/>
      </c>
      <c r="H43" t="n">
        <v>9</v>
      </c>
      <c r="I43" t="inlineStr">
        <is>
          <t>N/A</t>
        </is>
      </c>
    </row>
    <row r="44">
      <c r="A44" t="n">
        <v>7</v>
      </c>
      <c r="B44" s="13">
        <f>IF($A44&lt;=B36,B35*(SQRT($A44/B36)-SQRT(($A44-1)/B36)),"")</f>
        <v/>
      </c>
      <c r="C44" s="13">
        <f>IF($A44&lt;=B36,B35*SQRT($A44/B36),"")</f>
        <v/>
      </c>
      <c r="H44" t="n">
        <v>10</v>
      </c>
      <c r="I44" t="n">
        <v>7</v>
      </c>
    </row>
    <row r="45">
      <c r="A45" t="n">
        <v>8</v>
      </c>
      <c r="B45" s="13">
        <f>IF($A45&lt;=B36,B35*(SQRT($A45/B36)-SQRT(($A45-1)/B36)),"")</f>
        <v/>
      </c>
      <c r="C45" s="13">
        <f>IF($A45&lt;=B36,B35*SQRT($A45/B36),"")</f>
        <v/>
      </c>
      <c r="H45" t="n">
        <v>11</v>
      </c>
      <c r="I45" t="inlineStr">
        <is>
          <t>N/A</t>
        </is>
      </c>
    </row>
    <row r="46">
      <c r="A46" t="n">
        <v>9</v>
      </c>
      <c r="B46" s="13">
        <f>IF($A46&lt;=B36,B35*(SQRT($A46/B36)-SQRT(($A46-1)/B36)),"")</f>
        <v/>
      </c>
      <c r="C46" s="13">
        <f>IF($A46&lt;=B36,B35*SQRT($A46/B36),"")</f>
        <v/>
      </c>
      <c r="H46" t="n">
        <v>12</v>
      </c>
      <c r="I46" t="n">
        <v>6</v>
      </c>
    </row>
    <row r="47">
      <c r="A47" t="n">
        <v>10</v>
      </c>
      <c r="B47" s="13">
        <f>IF($A47&lt;=B36,B35*(SQRT($A47/B36)-SQRT(($A47-1)/B36)),"")</f>
        <v/>
      </c>
      <c r="C47" s="13">
        <f>IF($A47&lt;=B36,B35*SQRT($A47/B36),"")</f>
        <v/>
      </c>
      <c r="H47" t="n">
        <v>13</v>
      </c>
      <c r="I47" t="inlineStr">
        <is>
          <t>N/A</t>
        </is>
      </c>
    </row>
    <row r="48">
      <c r="A48" t="n">
        <v>11</v>
      </c>
      <c r="B48" s="13">
        <f>IF($A48&lt;=B36,B35*(SQRT($A48/B36)-SQRT(($A48-1)/B36)),"")</f>
        <v/>
      </c>
      <c r="C48" s="13">
        <f>IF($A48&lt;=B36,B35*SQRT($A48/B36),"")</f>
        <v/>
      </c>
      <c r="H48" t="n">
        <v>14</v>
      </c>
      <c r="I48" t="n">
        <v>5</v>
      </c>
    </row>
    <row r="49">
      <c r="A49" t="n">
        <v>12</v>
      </c>
      <c r="B49" s="13">
        <f>IF($A49&lt;=B36,B35*(SQRT($A49/B36)-SQRT(($A49-1)/B36)),"")</f>
        <v/>
      </c>
      <c r="C49" s="13">
        <f>IF($A49&lt;=B36,B35*SQRT($A49/B36),"")</f>
        <v/>
      </c>
      <c r="H49" t="n">
        <v>15</v>
      </c>
      <c r="I49" t="inlineStr">
        <is>
          <t>N/A</t>
        </is>
      </c>
    </row>
    <row r="50">
      <c r="A50" t="n">
        <v>13</v>
      </c>
      <c r="B50" s="13">
        <f>IF($A50&lt;=B36,B35*(SQRT($A50/B36)-SQRT(($A50-1)/B36)),"")</f>
        <v/>
      </c>
      <c r="C50" s="13">
        <f>IF($A50&lt;=B36,B35*SQRT($A50/B36),"")</f>
        <v/>
      </c>
      <c r="H50" t="n">
        <v>16</v>
      </c>
      <c r="I50" t="n">
        <v>5</v>
      </c>
    </row>
    <row r="51">
      <c r="A51" t="n">
        <v>14</v>
      </c>
      <c r="B51" s="13">
        <f>IF($A51&lt;=B36,B35*(SQRT($A51/B36)-SQRT(($A51-1)/B36)),"")</f>
        <v/>
      </c>
      <c r="C51" s="13">
        <f>IF($A51&lt;=B36,B35*SQRT($A51/B36),"")</f>
        <v/>
      </c>
    </row>
    <row r="52">
      <c r="A52" t="n">
        <v>15</v>
      </c>
      <c r="B52" s="13">
        <f>IF($A52&lt;=B36,B35*(SQRT($A52/B36)-SQRT(($A52-1)/B36)),"")</f>
        <v/>
      </c>
      <c r="C52" s="13">
        <f>IF($A52&lt;=B36,B35*SQRT($A52/B36),"")</f>
        <v/>
      </c>
      <c r="H52" s="3" t="inlineStr">
        <is>
          <t>NPT TPI</t>
        </is>
      </c>
      <c r="I52" s="3" t="inlineStr">
        <is>
          <t>Passes</t>
        </is>
      </c>
      <c r="J52" s="3" t="inlineStr">
        <is>
          <t>Depth</t>
        </is>
      </c>
    </row>
    <row r="53">
      <c r="A53" t="n">
        <v>16</v>
      </c>
      <c r="B53" s="13">
        <f>IF($A53&lt;=B36,B35*(SQRT($A53/B36)-SQRT(($A53-1)/B36)),"")</f>
        <v/>
      </c>
      <c r="C53" s="13">
        <f>IF($A53&lt;=B36,B35*SQRT($A53/B36),"")</f>
        <v/>
      </c>
      <c r="H53" t="n">
        <v>8</v>
      </c>
      <c r="I53" t="n">
        <v>15</v>
      </c>
      <c r="J53" t="n">
        <v>0.1</v>
      </c>
    </row>
    <row r="54">
      <c r="A54" t="n">
        <v>17</v>
      </c>
      <c r="B54" s="13">
        <f>IF($A54&lt;=B36,B35*(SQRT($A54/B36)-SQRT(($A54-1)/B36)),"")</f>
        <v/>
      </c>
      <c r="C54" s="13">
        <f>IF($A54&lt;=B36,B35*SQRT($A54/B36),"")</f>
        <v/>
      </c>
      <c r="H54" t="n">
        <v>11.5</v>
      </c>
      <c r="I54" t="n">
        <v>12</v>
      </c>
      <c r="J54" t="n">
        <v>0.06900000000000001</v>
      </c>
    </row>
    <row r="55">
      <c r="A55" t="n">
        <v>18</v>
      </c>
      <c r="B55" s="13">
        <f>IF($A55&lt;=B36,B35*(SQRT($A55/B36)-SQRT(($A55-1)/B36)),"")</f>
        <v/>
      </c>
      <c r="C55" s="13">
        <f>IF($A55&lt;=B36,B35*SQRT($A55/B36),"")</f>
        <v/>
      </c>
      <c r="H55" t="n">
        <v>14</v>
      </c>
      <c r="I55" t="n">
        <v>10</v>
      </c>
      <c r="J55" t="n">
        <v>0.056</v>
      </c>
    </row>
    <row r="56">
      <c r="A56" t="n">
        <v>19</v>
      </c>
      <c r="B56" s="13">
        <f>IF($A56&lt;=B36,B35*(SQRT($A56/B36)-SQRT(($A56-1)/B36)),"")</f>
        <v/>
      </c>
      <c r="C56" s="13">
        <f>IF($A56&lt;=B36,B35*SQRT($A56/B36),"")</f>
        <v/>
      </c>
      <c r="H56" t="n">
        <v>18</v>
      </c>
      <c r="I56" t="n">
        <v>8</v>
      </c>
      <c r="J56" t="n">
        <v>0.044</v>
      </c>
    </row>
    <row r="57">
      <c r="A57" t="n">
        <v>20</v>
      </c>
      <c r="B57" s="13">
        <f>IF($A57&lt;=B36,B35*(SQRT($A57/B36)-SQRT(($A57-1)/B36)),"")</f>
        <v/>
      </c>
      <c r="C57" s="13">
        <f>IF($A57&lt;=B36,B35*SQRT($A57/B36),"")</f>
        <v/>
      </c>
      <c r="H57" t="n">
        <v>27</v>
      </c>
      <c r="I57" t="n">
        <v>6</v>
      </c>
      <c r="J57" t="n">
        <v>0.03</v>
      </c>
    </row>
    <row r="58">
      <c r="A58" t="n">
        <v>21</v>
      </c>
      <c r="B58" s="13">
        <f>IF($A58&lt;=B36,B35*(SQRT($A58/B36)-SQRT(($A58-1)/B36)),"")</f>
        <v/>
      </c>
      <c r="C58" s="13">
        <f>IF($A58&lt;=B36,B35*SQRT($A58/B36),"")</f>
        <v/>
      </c>
    </row>
    <row r="59">
      <c r="A59" t="n">
        <v>22</v>
      </c>
      <c r="B59" s="13">
        <f>IF($A59&lt;=B36,B35*(SQRT($A59/B36)-SQRT(($A59-1)/B36)),"")</f>
        <v/>
      </c>
      <c r="C59" s="13">
        <f>IF($A59&lt;=B36,B35*SQRT($A59/B36),"")</f>
        <v/>
      </c>
    </row>
    <row r="60">
      <c r="A60" t="n">
        <v>23</v>
      </c>
      <c r="B60" s="13">
        <f>IF($A60&lt;=B36,B35*(SQRT($A60/B36)-SQRT(($A60-1)/B36)),"")</f>
        <v/>
      </c>
      <c r="C60" s="13">
        <f>IF($A60&lt;=B36,B35*SQRT($A60/B36),"")</f>
        <v/>
      </c>
    </row>
    <row r="61">
      <c r="A61" t="n">
        <v>24</v>
      </c>
      <c r="B61" s="13">
        <f>IF($A61&lt;=B36,B35*(SQRT($A61/B36)-SQRT(($A61-1)/B36)),"")</f>
        <v/>
      </c>
      <c r="C61" s="13">
        <f>IF($A61&lt;=B36,B35*SQRT($A61/B36),"")</f>
        <v/>
      </c>
    </row>
    <row r="62">
      <c r="A62" t="n">
        <v>25</v>
      </c>
      <c r="B62" s="13">
        <f>IF($A62&lt;=B36,B35*(SQRT($A62/B36)-SQRT(($A62-1)/B36)),"")</f>
        <v/>
      </c>
      <c r="C62" s="13">
        <f>IF($A62&lt;=B36,B35*SQRT($A62/B36),"")</f>
        <v/>
      </c>
    </row>
    <row r="63">
      <c r="A63" t="n">
        <v>26</v>
      </c>
      <c r="B63" s="13">
        <f>IF($A63&lt;=B36,B35*(SQRT($A63/B36)-SQRT(($A63-1)/B36)),"")</f>
        <v/>
      </c>
      <c r="C63" s="13">
        <f>IF($A63&lt;=B36,B35*SQRT($A63/B36),"")</f>
        <v/>
      </c>
    </row>
    <row r="64">
      <c r="A64" t="n">
        <v>27</v>
      </c>
      <c r="B64" s="13">
        <f>IF($A64&lt;=B36,B35*(SQRT($A64/B36)-SQRT(($A64-1)/B36)),"")</f>
        <v/>
      </c>
      <c r="C64" s="13">
        <f>IF($A64&lt;=B36,B35*SQRT($A64/B36),"")</f>
        <v/>
      </c>
    </row>
    <row r="65">
      <c r="A65" t="n">
        <v>28</v>
      </c>
      <c r="B65" s="13">
        <f>IF($A65&lt;=B36,B35*(SQRT($A65/B36)-SQRT(($A65-1)/B36)),"")</f>
        <v/>
      </c>
      <c r="C65" s="13">
        <f>IF($A65&lt;=B36,B35*SQRT($A65/B36),"")</f>
        <v/>
      </c>
    </row>
    <row r="66">
      <c r="A66" t="n">
        <v>29</v>
      </c>
      <c r="B66" s="13">
        <f>IF($A66&lt;=B36,B35*(SQRT($A66/B36)-SQRT(($A66-1)/B36)),"")</f>
        <v/>
      </c>
      <c r="C66" s="13">
        <f>IF($A66&lt;=B36,B35*SQRT($A66/B36),"")</f>
        <v/>
      </c>
    </row>
    <row r="67">
      <c r="A67" t="n">
        <v>30</v>
      </c>
      <c r="B67" s="13">
        <f>IF($A67&lt;=B36,B35*(SQRT($A67/B36)-SQRT(($A67-1)/B36)),"")</f>
        <v/>
      </c>
      <c r="C67" s="13">
        <f>IF($A67&lt;=B36,B35*SQRT($A67/B36),"")</f>
        <v/>
      </c>
    </row>
    <row r="68">
      <c r="A68" t="n">
        <v>31</v>
      </c>
      <c r="B68" s="13">
        <f>IF($A68&lt;=B36,B35*(SQRT($A68/B36)-SQRT(($A68-1)/B36)),"")</f>
        <v/>
      </c>
      <c r="C68" s="13">
        <f>IF($A68&lt;=B36,B35*SQRT($A68/B36),"")</f>
        <v/>
      </c>
    </row>
    <row r="69">
      <c r="A69" t="n">
        <v>32</v>
      </c>
      <c r="B69" s="13">
        <f>IF($A69&lt;=B36,B35*(SQRT($A69/B36)-SQRT(($A69-1)/B36)),"")</f>
        <v/>
      </c>
      <c r="C69" s="13">
        <f>IF($A69&lt;=B36,B35*SQRT($A69/B36),"")</f>
        <v/>
      </c>
    </row>
    <row r="70">
      <c r="A70" t="n">
        <v>33</v>
      </c>
      <c r="B70" s="13">
        <f>IF($A70&lt;=B36,B35*(SQRT($A70/B36)-SQRT(($A70-1)/B36)),"")</f>
        <v/>
      </c>
      <c r="C70" s="13">
        <f>IF($A70&lt;=B36,B35*SQRT($A70/B36),"")</f>
        <v/>
      </c>
    </row>
    <row r="71">
      <c r="A71" t="n">
        <v>34</v>
      </c>
      <c r="B71" s="13">
        <f>IF($A71&lt;=B36,B35*(SQRT($A71/B36)-SQRT(($A71-1)/B36)),"")</f>
        <v/>
      </c>
      <c r="C71" s="13">
        <f>IF($A71&lt;=B36,B35*SQRT($A71/B36),"")</f>
        <v/>
      </c>
    </row>
    <row r="72">
      <c r="A72" t="n">
        <v>35</v>
      </c>
      <c r="B72" s="13">
        <f>IF($A72&lt;=B36,B35*(SQRT($A72/B36)-SQRT(($A72-1)/B36)),"")</f>
        <v/>
      </c>
      <c r="C72" s="13">
        <f>IF($A72&lt;=B36,B35*SQRT($A72/B36),"")</f>
        <v/>
      </c>
    </row>
    <row r="73">
      <c r="A73" t="n">
        <v>36</v>
      </c>
      <c r="B73" s="13">
        <f>IF($A73&lt;=B36,B35*(SQRT($A73/B36)-SQRT(($A73-1)/B36)),"")</f>
        <v/>
      </c>
      <c r="C73" s="13">
        <f>IF($A73&lt;=B36,B35*SQRT($A73/B36),"")</f>
        <v/>
      </c>
    </row>
    <row r="74">
      <c r="A74" t="n">
        <v>37</v>
      </c>
      <c r="B74" s="13">
        <f>IF($A74&lt;=B36,B35*(SQRT($A74/B36)-SQRT(($A74-1)/B36)),"")</f>
        <v/>
      </c>
      <c r="C74" s="13">
        <f>IF($A74&lt;=B36,B35*SQRT($A74/B36),"")</f>
        <v/>
      </c>
    </row>
    <row r="75">
      <c r="A75" t="n">
        <v>38</v>
      </c>
      <c r="B75" s="13">
        <f>IF($A75&lt;=B36,B35*(SQRT($A75/B36)-SQRT(($A75-1)/B36)),"")</f>
        <v/>
      </c>
      <c r="C75" s="13">
        <f>IF($A75&lt;=B36,B35*SQRT($A75/B36),"")</f>
        <v/>
      </c>
    </row>
    <row r="76">
      <c r="A76" t="n">
        <v>39</v>
      </c>
      <c r="B76" s="13">
        <f>IF($A76&lt;=B36,B35*(SQRT($A76/B36)-SQRT(($A76-1)/B36)),"")</f>
        <v/>
      </c>
      <c r="C76" s="13">
        <f>IF($A76&lt;=B36,B35*SQRT($A76/B36),"")</f>
        <v/>
      </c>
    </row>
    <row r="77">
      <c r="A77" t="n">
        <v>40</v>
      </c>
      <c r="B77" s="13">
        <f>IF($A77&lt;=B36,B35*(SQRT($A77/B36)-SQRT(($A77-1)/B36)),"")</f>
        <v/>
      </c>
      <c r="C77" s="13">
        <f>IF($A77&lt;=B36,B35*SQRT($A77/B36),"")</f>
        <v/>
      </c>
    </row>
  </sheetData>
  <pageMargins left="0.75" right="0.75" top="1" bottom="1" header="0.5" footer="0.5"/>
  <headerFooter>
    <oddHeader>&amp;C&amp;9 H38 Quick Calc — Highway 38 Solutions</oddHeader>
    <oddFooter/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30" customWidth="1" min="3" max="3"/>
    <col width="13" customWidth="1" min="4" max="4"/>
    <col width="11" customWidth="1" min="5" max="5"/>
    <col width="11" customWidth="1" min="6" max="6"/>
  </cols>
  <sheetData>
    <row r="1">
      <c r="A1" s="1" t="inlineStr">
        <is>
          <t>DRILL &amp; TAP</t>
        </is>
      </c>
    </row>
    <row r="2">
      <c r="A2" s="2" t="inlineStr">
        <is>
          <t>H38 Quick Calc · Highway 38 Solutions — tap drills, thread data and 3-wire measurement.</t>
        </is>
      </c>
    </row>
    <row r="4">
      <c r="A4" s="5" t="inlineStr">
        <is>
          <t>1 — TAP DRILLS — NUMBERED SCREW</t>
        </is>
      </c>
    </row>
    <row r="5">
      <c r="A5" t="inlineStr">
        <is>
          <t>Screw number (0–12)</t>
        </is>
      </c>
      <c r="B5" s="6" t="n">
        <v>8</v>
      </c>
    </row>
    <row r="6">
      <c r="A6" t="inlineStr">
        <is>
          <t>Threads per inch (TPI)</t>
        </is>
      </c>
      <c r="B6" s="6" t="n">
        <v>48</v>
      </c>
    </row>
    <row r="7">
      <c r="A7" t="inlineStr">
        <is>
          <t>Major diameter (in)</t>
        </is>
      </c>
      <c r="B7" s="10">
        <f>B5*0.013+0.06</f>
        <v/>
      </c>
    </row>
    <row r="8">
      <c r="A8" s="3" t="inlineStr">
        <is>
          <t>Cut tap drill (in)</t>
        </is>
      </c>
      <c r="B8" s="20">
        <f>B7-1/B6</f>
        <v/>
      </c>
    </row>
    <row r="9">
      <c r="A9" t="inlineStr">
        <is>
          <t>Form tap drill (in)</t>
        </is>
      </c>
      <c r="B9" s="10">
        <f>B7-1/B6/2</f>
        <v/>
      </c>
    </row>
    <row r="10">
      <c r="A10" t="inlineStr">
        <is>
          <t>Countersink diameter (in)</t>
        </is>
      </c>
      <c r="B10" s="10">
        <f>B7+0.025</f>
        <v/>
      </c>
    </row>
    <row r="12">
      <c r="A12" s="5" t="inlineStr">
        <is>
          <t>2 — TAP DRILLS — INCH</t>
        </is>
      </c>
    </row>
    <row r="13">
      <c r="A13" t="inlineStr">
        <is>
          <t>Major diameter (in)</t>
        </is>
      </c>
      <c r="B13" s="7" t="n">
        <v>0.4375</v>
      </c>
    </row>
    <row r="14">
      <c r="A14" t="inlineStr">
        <is>
          <t>Threads per inch (TPI)</t>
        </is>
      </c>
      <c r="B14" s="6" t="n">
        <v>20</v>
      </c>
    </row>
    <row r="15">
      <c r="A15" s="3" t="inlineStr">
        <is>
          <t>Cut tap drill (in)</t>
        </is>
      </c>
      <c r="B15" s="20">
        <f>B13-1/B14</f>
        <v/>
      </c>
    </row>
    <row r="16">
      <c r="A16" t="inlineStr">
        <is>
          <t>Form tap drill (in)</t>
        </is>
      </c>
      <c r="B16" s="10">
        <f>B13-1/B14/2</f>
        <v/>
      </c>
    </row>
    <row r="17">
      <c r="A17" t="inlineStr">
        <is>
          <t>Countersink diameter (in)</t>
        </is>
      </c>
      <c r="B17" s="10">
        <f>B13+0.025</f>
        <v/>
      </c>
    </row>
    <row r="19">
      <c r="A19" s="5" t="inlineStr">
        <is>
          <t>3 — TAP DRILLS — METRIC (results in inches)</t>
        </is>
      </c>
    </row>
    <row r="20">
      <c r="A20" t="inlineStr">
        <is>
          <t>Major diameter (mm)</t>
        </is>
      </c>
      <c r="B20" s="17" t="n">
        <v>3</v>
      </c>
    </row>
    <row r="21">
      <c r="A21" t="inlineStr">
        <is>
          <t>Pitch (mm)</t>
        </is>
      </c>
      <c r="B21" s="17" t="n">
        <v>0.5</v>
      </c>
    </row>
    <row r="22">
      <c r="A22" t="inlineStr">
        <is>
          <t>Major diameter (in)</t>
        </is>
      </c>
      <c r="B22" s="10">
        <f>B20/25.4</f>
        <v/>
      </c>
    </row>
    <row r="23">
      <c r="A23" s="3" t="inlineStr">
        <is>
          <t>Cut tap drill (in)</t>
        </is>
      </c>
      <c r="B23" s="20">
        <f>(B20-B21)/25.4</f>
        <v/>
      </c>
    </row>
    <row r="24">
      <c r="A24" t="inlineStr">
        <is>
          <t>Form tap drill (in)</t>
        </is>
      </c>
      <c r="B24" s="10">
        <f>(B20-B21/2)/25.4</f>
        <v/>
      </c>
    </row>
    <row r="25">
      <c r="A25" t="inlineStr">
        <is>
          <t>Countersink diameter (in)</t>
        </is>
      </c>
      <c r="B25" s="10">
        <f>B20/25.4+0.025</f>
        <v/>
      </c>
    </row>
    <row r="27">
      <c r="A27" s="5" t="inlineStr">
        <is>
          <t>4 — THREAD DATA — UN (inch, 60° basic profile)</t>
        </is>
      </c>
    </row>
    <row r="28">
      <c r="A28" t="inlineStr">
        <is>
          <t>Major diameter (in)</t>
        </is>
      </c>
      <c r="B28" s="7" t="n">
        <v>0.25</v>
      </c>
    </row>
    <row r="29">
      <c r="A29" t="inlineStr">
        <is>
          <t>Threads per inch (TPI)</t>
        </is>
      </c>
      <c r="B29" s="6" t="n">
        <v>20</v>
      </c>
    </row>
    <row r="30">
      <c r="A30" t="inlineStr">
        <is>
          <t>Pitch (in)</t>
        </is>
      </c>
      <c r="B30" s="13">
        <f>1/B29</f>
        <v/>
      </c>
    </row>
    <row r="31">
      <c r="A31" s="3" t="inlineStr">
        <is>
          <t>Pitch diameter (in)</t>
        </is>
      </c>
      <c r="B31" s="20">
        <f>B28-0.649519*B30</f>
        <v/>
      </c>
    </row>
    <row r="32">
      <c r="A32" t="inlineStr">
        <is>
          <t>Minor diameter — internal (in)</t>
        </is>
      </c>
      <c r="B32" s="10">
        <f>B28-1.082532*B30</f>
        <v/>
      </c>
    </row>
    <row r="33">
      <c r="A33" t="inlineStr">
        <is>
          <t>Minor diameter — external (in)</t>
        </is>
      </c>
      <c r="B33" s="10">
        <f>B28-1.226869*B30</f>
        <v/>
      </c>
    </row>
    <row r="34">
      <c r="A34" t="inlineStr">
        <is>
          <t>Tap drill at 100% thread (in)</t>
        </is>
      </c>
      <c r="B34" s="10">
        <f>B28-B30</f>
        <v/>
      </c>
    </row>
    <row r="35">
      <c r="A35" t="inlineStr">
        <is>
          <t>Wanted thread engagement (%)</t>
        </is>
      </c>
      <c r="B35" s="16" t="n">
        <v>75</v>
      </c>
    </row>
    <row r="36">
      <c r="A36" s="3" t="inlineStr">
        <is>
          <t>Tap drill at wanted % (in)</t>
        </is>
      </c>
      <c r="B36" s="20">
        <f>B28-1.299038*B30*B35/100</f>
        <v/>
      </c>
    </row>
    <row r="37">
      <c r="A37" t="inlineStr">
        <is>
          <t>Drill on hand (in)</t>
        </is>
      </c>
      <c r="B37" s="7" t="n">
        <v>0.201</v>
      </c>
    </row>
    <row r="38">
      <c r="A38" t="inlineStr">
        <is>
          <t>% thread with that drill</t>
        </is>
      </c>
      <c r="B38" s="15">
        <f>(B28-B37)/(1.299038*B30)*100</f>
        <v/>
      </c>
    </row>
    <row r="40">
      <c r="A40" s="5" t="inlineStr">
        <is>
          <t>5 — THREAD DATA — METRIC (mm, 60° basic profile)</t>
        </is>
      </c>
    </row>
    <row r="41">
      <c r="A41" t="inlineStr">
        <is>
          <t>Major diameter (mm)</t>
        </is>
      </c>
      <c r="B41" s="17" t="n">
        <v>10</v>
      </c>
    </row>
    <row r="42">
      <c r="A42" t="inlineStr">
        <is>
          <t>Pitch (mm)</t>
        </is>
      </c>
      <c r="B42" s="17" t="n">
        <v>1.5</v>
      </c>
    </row>
    <row r="43">
      <c r="A43" s="3" t="inlineStr">
        <is>
          <t>Pitch diameter (mm)</t>
        </is>
      </c>
      <c r="B43" s="21">
        <f>B41-0.649519*B42</f>
        <v/>
      </c>
    </row>
    <row r="44">
      <c r="A44" t="inlineStr">
        <is>
          <t>Minor diameter — internal (mm)</t>
        </is>
      </c>
      <c r="B44" s="11">
        <f>B41-1.082532*B42</f>
        <v/>
      </c>
    </row>
    <row r="45">
      <c r="A45" t="inlineStr">
        <is>
          <t>Minor diameter — external (mm)</t>
        </is>
      </c>
      <c r="B45" s="11">
        <f>B41-1.226869*B42</f>
        <v/>
      </c>
    </row>
    <row r="46">
      <c r="A46" t="inlineStr">
        <is>
          <t>Tap drill at 100% thread (mm)</t>
        </is>
      </c>
      <c r="B46" s="11">
        <f>B41-B42</f>
        <v/>
      </c>
    </row>
    <row r="48">
      <c r="A48" s="5" t="inlineStr">
        <is>
          <t>6 — 3-WIRE MEASUREMENT (60° threads)</t>
        </is>
      </c>
    </row>
    <row r="49">
      <c r="A49" t="inlineStr">
        <is>
          <t>Threads per inch (TPI)</t>
        </is>
      </c>
      <c r="B49" s="6" t="n">
        <v>20</v>
      </c>
    </row>
    <row r="50">
      <c r="A50" t="inlineStr">
        <is>
          <t>Pitch (in)</t>
        </is>
      </c>
      <c r="B50" s="13">
        <f>1/B49</f>
        <v/>
      </c>
    </row>
    <row r="51">
      <c r="A51" t="inlineStr">
        <is>
          <t>Best wire diameter (in)</t>
        </is>
      </c>
      <c r="B51" s="22">
        <f>0.57735*B50</f>
        <v/>
      </c>
    </row>
    <row r="52">
      <c r="A52" t="inlineStr">
        <is>
          <t>Wire diameter used (in)</t>
        </is>
      </c>
      <c r="B52" s="23" t="n">
        <v>0.02887</v>
      </c>
    </row>
    <row r="53">
      <c r="A53" t="inlineStr">
        <is>
          <t>Pitch diameter (in)</t>
        </is>
      </c>
      <c r="B53" s="7" t="n">
        <v>0.2175</v>
      </c>
    </row>
    <row r="54">
      <c r="A54" s="3" t="inlineStr">
        <is>
          <t>Measurement over wires (in)</t>
        </is>
      </c>
      <c r="B54" s="20">
        <f>B53+3*B52-0.8660254*B50</f>
        <v/>
      </c>
    </row>
    <row r="55">
      <c r="A55" t="inlineStr">
        <is>
          <t>Measured over wires (in)</t>
        </is>
      </c>
      <c r="B55" s="7" t="n">
        <v>0.26082</v>
      </c>
    </row>
    <row r="56">
      <c r="A56" t="inlineStr">
        <is>
          <t>Pitch diameter from measurement (in)</t>
        </is>
      </c>
      <c r="B56" s="10">
        <f>B55-(3*B52-0.8660254*B50)</f>
        <v/>
      </c>
    </row>
    <row r="58">
      <c r="A58" s="5" t="inlineStr">
        <is>
          <t>7 — NPT TAP DRILLS — STANDARD CHART</t>
        </is>
      </c>
    </row>
    <row r="59">
      <c r="A59" s="3" t="inlineStr">
        <is>
          <t>Pipe size</t>
        </is>
      </c>
      <c r="B59" s="3" t="inlineStr">
        <is>
          <t>TPI</t>
        </is>
      </c>
      <c r="C59" s="3" t="inlineStr">
        <is>
          <t>Pipe OD</t>
        </is>
      </c>
      <c r="D59" s="3" t="inlineStr">
        <is>
          <t>Tap drill</t>
        </is>
      </c>
      <c r="E59" s="3" t="inlineStr">
        <is>
          <t>Decimal</t>
        </is>
      </c>
    </row>
    <row r="60">
      <c r="A60" t="inlineStr">
        <is>
          <t>1/16</t>
        </is>
      </c>
      <c r="B60" t="inlineStr">
        <is>
          <t>27</t>
        </is>
      </c>
      <c r="C60" s="10" t="n">
        <v>0.3125</v>
      </c>
      <c r="D60" t="inlineStr">
        <is>
          <t>R</t>
        </is>
      </c>
      <c r="E60" s="11" t="n">
        <v>0.339</v>
      </c>
    </row>
    <row r="61">
      <c r="A61" t="inlineStr">
        <is>
          <t>1/8</t>
        </is>
      </c>
      <c r="B61" t="inlineStr">
        <is>
          <t>27</t>
        </is>
      </c>
      <c r="C61" s="10" t="n">
        <v>0.405</v>
      </c>
      <c r="D61" t="inlineStr">
        <is>
          <t>11/32</t>
        </is>
      </c>
      <c r="E61" s="11" t="n">
        <v>0.344</v>
      </c>
    </row>
    <row r="62">
      <c r="A62" t="inlineStr">
        <is>
          <t>1/4</t>
        </is>
      </c>
      <c r="B62" t="inlineStr">
        <is>
          <t>18</t>
        </is>
      </c>
      <c r="C62" s="10" t="n">
        <v>0.54</v>
      </c>
      <c r="D62" t="inlineStr">
        <is>
          <t>7/16</t>
        </is>
      </c>
      <c r="E62" s="11" t="n">
        <v>0.438</v>
      </c>
    </row>
    <row r="63">
      <c r="A63" t="inlineStr">
        <is>
          <t>3/8</t>
        </is>
      </c>
      <c r="B63" t="inlineStr">
        <is>
          <t>18</t>
        </is>
      </c>
      <c r="C63" s="10" t="n">
        <v>0.675</v>
      </c>
      <c r="D63" t="inlineStr">
        <is>
          <t>37/64</t>
        </is>
      </c>
      <c r="E63" s="11" t="n">
        <v>0.578</v>
      </c>
    </row>
    <row r="64">
      <c r="A64" t="inlineStr">
        <is>
          <t>1/2</t>
        </is>
      </c>
      <c r="B64" t="inlineStr">
        <is>
          <t>14</t>
        </is>
      </c>
      <c r="C64" s="10" t="n">
        <v>0.84</v>
      </c>
      <c r="D64" t="inlineStr">
        <is>
          <t>23/32</t>
        </is>
      </c>
      <c r="E64" s="11" t="n">
        <v>0.719</v>
      </c>
    </row>
    <row r="65">
      <c r="A65" t="inlineStr">
        <is>
          <t>3/4</t>
        </is>
      </c>
      <c r="B65" t="inlineStr">
        <is>
          <t>14</t>
        </is>
      </c>
      <c r="C65" s="10" t="n">
        <v>1.05</v>
      </c>
      <c r="D65" t="inlineStr">
        <is>
          <t>59/64</t>
        </is>
      </c>
      <c r="E65" s="11" t="n">
        <v>0.922</v>
      </c>
    </row>
    <row r="66">
      <c r="A66" t="inlineStr">
        <is>
          <t>1</t>
        </is>
      </c>
      <c r="B66" t="inlineStr">
        <is>
          <t>11-1/2</t>
        </is>
      </c>
      <c r="C66" s="10" t="n">
        <v>1.315</v>
      </c>
      <c r="D66" t="inlineStr">
        <is>
          <t>1-5/32</t>
        </is>
      </c>
      <c r="E66" s="11" t="n">
        <v>1.156</v>
      </c>
    </row>
    <row r="67">
      <c r="A67" t="inlineStr">
        <is>
          <t>1-1/4</t>
        </is>
      </c>
      <c r="B67" t="inlineStr">
        <is>
          <t>11-1/2</t>
        </is>
      </c>
      <c r="C67" s="10" t="n">
        <v>1.66</v>
      </c>
      <c r="D67" t="inlineStr">
        <is>
          <t>1-1/2</t>
        </is>
      </c>
      <c r="E67" s="11" t="n">
        <v>1.5</v>
      </c>
    </row>
    <row r="68">
      <c r="A68" t="inlineStr">
        <is>
          <t>1-1/2</t>
        </is>
      </c>
      <c r="B68" t="inlineStr">
        <is>
          <t>11-1/2</t>
        </is>
      </c>
      <c r="C68" s="10" t="n">
        <v>1.9</v>
      </c>
      <c r="D68" t="inlineStr">
        <is>
          <t>1-47/64</t>
        </is>
      </c>
      <c r="E68" s="11" t="n">
        <v>1.734</v>
      </c>
    </row>
    <row r="69">
      <c r="A69" t="inlineStr">
        <is>
          <t>2</t>
        </is>
      </c>
      <c r="B69" t="inlineStr">
        <is>
          <t>11-1/2</t>
        </is>
      </c>
      <c r="C69" s="10" t="n">
        <v>2.375</v>
      </c>
      <c r="D69" t="inlineStr">
        <is>
          <t>2-13/64</t>
        </is>
      </c>
      <c r="E69" s="11" t="n">
        <v>2.203</v>
      </c>
    </row>
    <row r="70">
      <c r="A70" s="2" t="inlineStr">
        <is>
          <t>The widely published standard drill sizes for taper pipe taps. If you taper-ream first, your tap maker’s chart may call for a smaller drill.</t>
        </is>
      </c>
    </row>
    <row r="72">
      <c r="A72" s="5" t="inlineStr">
        <is>
          <t>8 — METRIC THREAD PITCHES — COARSE &amp; FINE (MM)</t>
        </is>
      </c>
    </row>
    <row r="73">
      <c r="A73" s="3" t="inlineStr">
        <is>
          <t>Size</t>
        </is>
      </c>
      <c r="B73" s="3" t="inlineStr">
        <is>
          <t>Coarse</t>
        </is>
      </c>
      <c r="C73" s="3" t="inlineStr">
        <is>
          <t>Fine</t>
        </is>
      </c>
      <c r="D73" s="3" t="inlineStr">
        <is>
          <t>Extra fine</t>
        </is>
      </c>
    </row>
    <row r="74">
      <c r="A74" t="inlineStr">
        <is>
          <t>M1.6</t>
        </is>
      </c>
      <c r="B74" s="9" t="n">
        <v>0.35</v>
      </c>
      <c r="C74" s="9" t="n">
        <v>0.2</v>
      </c>
      <c r="D74" t="inlineStr">
        <is>
          <t>-</t>
        </is>
      </c>
    </row>
    <row r="75">
      <c r="A75" t="inlineStr">
        <is>
          <t>M2</t>
        </is>
      </c>
      <c r="B75" s="9" t="n">
        <v>0.4</v>
      </c>
      <c r="C75" s="9" t="n">
        <v>0.25</v>
      </c>
      <c r="D75" t="inlineStr">
        <is>
          <t>-</t>
        </is>
      </c>
    </row>
    <row r="76">
      <c r="A76" t="inlineStr">
        <is>
          <t>M2.5</t>
        </is>
      </c>
      <c r="B76" s="9" t="n">
        <v>0.45</v>
      </c>
      <c r="C76" s="9" t="n">
        <v>0.35</v>
      </c>
      <c r="D76" t="inlineStr">
        <is>
          <t>-</t>
        </is>
      </c>
    </row>
    <row r="77">
      <c r="A77" t="inlineStr">
        <is>
          <t>M3</t>
        </is>
      </c>
      <c r="B77" s="9" t="n">
        <v>0.5</v>
      </c>
      <c r="C77" s="9" t="n">
        <v>0.35</v>
      </c>
      <c r="D77" t="inlineStr">
        <is>
          <t>-</t>
        </is>
      </c>
    </row>
    <row r="78">
      <c r="A78" t="inlineStr">
        <is>
          <t>M3.5</t>
        </is>
      </c>
      <c r="B78" s="9" t="n">
        <v>0.6</v>
      </c>
      <c r="C78" s="9" t="n">
        <v>0.35</v>
      </c>
      <c r="D78" t="inlineStr">
        <is>
          <t>-</t>
        </is>
      </c>
    </row>
    <row r="79">
      <c r="A79" t="inlineStr">
        <is>
          <t>M4</t>
        </is>
      </c>
      <c r="B79" s="9" t="n">
        <v>0.7</v>
      </c>
      <c r="C79" s="9" t="n">
        <v>0.5</v>
      </c>
      <c r="D79" t="inlineStr">
        <is>
          <t>-</t>
        </is>
      </c>
    </row>
    <row r="80">
      <c r="A80" t="inlineStr">
        <is>
          <t>M5</t>
        </is>
      </c>
      <c r="B80" s="9" t="n">
        <v>0.8</v>
      </c>
      <c r="C80" s="9" t="n">
        <v>0.5</v>
      </c>
      <c r="D80" t="inlineStr">
        <is>
          <t>-</t>
        </is>
      </c>
    </row>
    <row r="81">
      <c r="A81" t="inlineStr">
        <is>
          <t>M6</t>
        </is>
      </c>
      <c r="B81" s="9" t="n">
        <v>1</v>
      </c>
      <c r="C81" s="9" t="n">
        <v>0.75</v>
      </c>
      <c r="D81" t="n">
        <v>0.5</v>
      </c>
    </row>
    <row r="82">
      <c r="A82" t="inlineStr">
        <is>
          <t>M7</t>
        </is>
      </c>
      <c r="B82" s="9" t="n">
        <v>1</v>
      </c>
      <c r="C82" s="9" t="n">
        <v>0.75</v>
      </c>
      <c r="D82" t="inlineStr">
        <is>
          <t>-</t>
        </is>
      </c>
    </row>
    <row r="83">
      <c r="A83" t="inlineStr">
        <is>
          <t>M8</t>
        </is>
      </c>
      <c r="B83" s="9" t="n">
        <v>1.25</v>
      </c>
      <c r="C83" s="9" t="n">
        <v>1</v>
      </c>
      <c r="D83" t="n">
        <v>0.75</v>
      </c>
    </row>
    <row r="84">
      <c r="A84" t="inlineStr">
        <is>
          <t>M10</t>
        </is>
      </c>
      <c r="B84" s="9" t="n">
        <v>1.5</v>
      </c>
      <c r="C84" s="9" t="n">
        <v>1.25</v>
      </c>
      <c r="D84" t="inlineStr">
        <is>
          <t>1.00 / 0.75</t>
        </is>
      </c>
    </row>
    <row r="85">
      <c r="A85" t="inlineStr">
        <is>
          <t>M12</t>
        </is>
      </c>
      <c r="B85" s="9" t="n">
        <v>1.75</v>
      </c>
      <c r="C85" s="9" t="n">
        <v>1.5</v>
      </c>
      <c r="D85" t="inlineStr">
        <is>
          <t>1.25 / 1.00</t>
        </is>
      </c>
    </row>
    <row r="86">
      <c r="A86" t="inlineStr">
        <is>
          <t>M14</t>
        </is>
      </c>
      <c r="B86" s="9" t="n">
        <v>2</v>
      </c>
      <c r="C86" s="9" t="n">
        <v>1.5</v>
      </c>
      <c r="D86" t="n">
        <v>1</v>
      </c>
    </row>
    <row r="87">
      <c r="A87" t="inlineStr">
        <is>
          <t>M16</t>
        </is>
      </c>
      <c r="B87" s="9" t="n">
        <v>2</v>
      </c>
      <c r="C87" s="9" t="n">
        <v>1.5</v>
      </c>
      <c r="D87" t="inlineStr">
        <is>
          <t>-</t>
        </is>
      </c>
    </row>
    <row r="88">
      <c r="A88" t="inlineStr">
        <is>
          <t>M18</t>
        </is>
      </c>
      <c r="B88" s="9" t="n">
        <v>2.5</v>
      </c>
      <c r="C88" s="9" t="n">
        <v>2</v>
      </c>
      <c r="D88" t="n">
        <v>1.5</v>
      </c>
    </row>
    <row r="89">
      <c r="A89" t="inlineStr">
        <is>
          <t>M20</t>
        </is>
      </c>
      <c r="B89" s="9" t="n">
        <v>2.5</v>
      </c>
      <c r="C89" s="9" t="n">
        <v>2</v>
      </c>
      <c r="D89" t="inlineStr">
        <is>
          <t>1.50 / 1.00</t>
        </is>
      </c>
    </row>
    <row r="90">
      <c r="A90" t="inlineStr">
        <is>
          <t>M22</t>
        </is>
      </c>
      <c r="B90" s="9" t="n">
        <v>2.5</v>
      </c>
      <c r="C90" s="9" t="n">
        <v>2</v>
      </c>
      <c r="D90" t="n">
        <v>1.5</v>
      </c>
    </row>
    <row r="91">
      <c r="A91" t="inlineStr">
        <is>
          <t>M24</t>
        </is>
      </c>
      <c r="B91" s="9" t="n">
        <v>3</v>
      </c>
      <c r="C91" s="9" t="n">
        <v>2</v>
      </c>
      <c r="D91" t="n">
        <v>1.5</v>
      </c>
    </row>
    <row r="92">
      <c r="A92" t="inlineStr">
        <is>
          <t>M27</t>
        </is>
      </c>
      <c r="B92" s="9" t="n">
        <v>3</v>
      </c>
      <c r="C92" s="9" t="n">
        <v>2</v>
      </c>
      <c r="D92" t="n">
        <v>1.5</v>
      </c>
    </row>
    <row r="93">
      <c r="A93" t="inlineStr">
        <is>
          <t>M30</t>
        </is>
      </c>
      <c r="B93" s="9" t="n">
        <v>3.5</v>
      </c>
      <c r="C93" s="9" t="n">
        <v>2</v>
      </c>
      <c r="D93" t="n">
        <v>1.5</v>
      </c>
    </row>
    <row r="94">
      <c r="A94" t="inlineStr">
        <is>
          <t>M33</t>
        </is>
      </c>
      <c r="B94" s="9" t="n">
        <v>3.5</v>
      </c>
      <c r="C94" s="9" t="n">
        <v>2</v>
      </c>
      <c r="D94" t="n">
        <v>1.5</v>
      </c>
    </row>
    <row r="95">
      <c r="A95" t="inlineStr">
        <is>
          <t>M36</t>
        </is>
      </c>
      <c r="B95" s="9" t="n">
        <v>4</v>
      </c>
      <c r="C95" s="9" t="n">
        <v>3</v>
      </c>
      <c r="D95" t="n">
        <v>2</v>
      </c>
    </row>
    <row r="96">
      <c r="A96" t="inlineStr">
        <is>
          <t>M39</t>
        </is>
      </c>
      <c r="B96" s="9" t="n">
        <v>4</v>
      </c>
      <c r="C96" s="9" t="n">
        <v>3</v>
      </c>
      <c r="D96" t="n">
        <v>2</v>
      </c>
    </row>
    <row r="97">
      <c r="A97" t="inlineStr">
        <is>
          <t>M42</t>
        </is>
      </c>
      <c r="B97" s="9" t="n">
        <v>4.5</v>
      </c>
      <c r="C97" s="9" t="n">
        <v>3</v>
      </c>
      <c r="D97" t="n">
        <v>2</v>
      </c>
    </row>
    <row r="98">
      <c r="A98" t="inlineStr">
        <is>
          <t>M45</t>
        </is>
      </c>
      <c r="B98" s="9" t="n">
        <v>4.5</v>
      </c>
      <c r="C98" s="9" t="n">
        <v>3</v>
      </c>
      <c r="D98" t="n">
        <v>2</v>
      </c>
    </row>
    <row r="99">
      <c r="A99" t="inlineStr">
        <is>
          <t>M48</t>
        </is>
      </c>
      <c r="B99" s="9" t="n">
        <v>5</v>
      </c>
      <c r="C99" s="9" t="n">
        <v>3</v>
      </c>
      <c r="D99" t="n">
        <v>2</v>
      </c>
    </row>
    <row r="100">
      <c r="A100" s="2" t="inlineStr">
        <is>
          <t>Standard ISO pitches. Sections 4-5 above compute pitch diameter, minors and tap drills for any of them.</t>
        </is>
      </c>
    </row>
    <row r="102">
      <c r="A102" s="5" t="inlineStr">
        <is>
          <t>9 — NPT PIPE DIMENSIONS — ASME B1.20.1</t>
        </is>
      </c>
    </row>
    <row r="103">
      <c r="A103" s="3" t="inlineStr">
        <is>
          <t>Pipe size</t>
        </is>
      </c>
      <c r="B103" s="3" t="inlineStr">
        <is>
          <t>OD (in)</t>
        </is>
      </c>
      <c r="C103" s="3" t="inlineStr">
        <is>
          <t>TPI</t>
        </is>
      </c>
      <c r="D103" s="3" t="inlineStr">
        <is>
          <t>Pitch (in)</t>
        </is>
      </c>
      <c r="E103" s="3" t="inlineStr">
        <is>
          <t>Hand-tight L1 (in)</t>
        </is>
      </c>
      <c r="F103" s="3" t="inlineStr">
        <is>
          <t>Turns by hand</t>
        </is>
      </c>
      <c r="G103" s="3" t="inlineStr">
        <is>
          <t>Effective L2 (in)</t>
        </is>
      </c>
    </row>
    <row r="104">
      <c r="A104" t="inlineStr">
        <is>
          <t>1/16</t>
        </is>
      </c>
      <c r="B104" s="10" t="n">
        <v>0.3125</v>
      </c>
      <c r="C104" t="n">
        <v>27</v>
      </c>
      <c r="D104" s="10" t="n">
        <v>0.037</v>
      </c>
      <c r="E104" s="10" t="n">
        <v>0.16</v>
      </c>
      <c r="F104" s="15" t="n">
        <v>4.3</v>
      </c>
      <c r="G104" s="10" t="n">
        <v>0.2611</v>
      </c>
    </row>
    <row r="105">
      <c r="A105" t="inlineStr">
        <is>
          <t>1/8</t>
        </is>
      </c>
      <c r="B105" s="10" t="n">
        <v>0.405</v>
      </c>
      <c r="C105" t="n">
        <v>27</v>
      </c>
      <c r="D105" s="10" t="n">
        <v>0.037</v>
      </c>
      <c r="E105" s="10" t="n">
        <v>0.18</v>
      </c>
      <c r="F105" s="15" t="n">
        <v>4.9</v>
      </c>
      <c r="G105" s="10" t="n">
        <v>0.268</v>
      </c>
    </row>
    <row r="106">
      <c r="A106" t="inlineStr">
        <is>
          <t>1/4</t>
        </is>
      </c>
      <c r="B106" s="10" t="n">
        <v>0.54</v>
      </c>
      <c r="C106" t="n">
        <v>18</v>
      </c>
      <c r="D106" s="10" t="n">
        <v>0.0556</v>
      </c>
      <c r="E106" s="10" t="n">
        <v>0.2278</v>
      </c>
      <c r="F106" s="15" t="n">
        <v>4.1</v>
      </c>
      <c r="G106" s="10" t="n">
        <v>0.4018</v>
      </c>
    </row>
    <row r="107">
      <c r="A107" t="inlineStr">
        <is>
          <t>3/8</t>
        </is>
      </c>
      <c r="B107" s="10" t="n">
        <v>0.675</v>
      </c>
      <c r="C107" t="n">
        <v>18</v>
      </c>
      <c r="D107" s="10" t="n">
        <v>0.0556</v>
      </c>
      <c r="E107" s="10" t="n">
        <v>0.24</v>
      </c>
      <c r="F107" s="15" t="n">
        <v>4.3</v>
      </c>
      <c r="G107" s="10" t="n">
        <v>0.4078</v>
      </c>
    </row>
    <row r="108">
      <c r="A108" t="inlineStr">
        <is>
          <t>1/2</t>
        </is>
      </c>
      <c r="B108" s="10" t="n">
        <v>0.84</v>
      </c>
      <c r="C108" t="n">
        <v>14</v>
      </c>
      <c r="D108" s="10" t="n">
        <v>0.07140000000000001</v>
      </c>
      <c r="E108" s="10" t="n">
        <v>0.32</v>
      </c>
      <c r="F108" s="15" t="n">
        <v>4.5</v>
      </c>
      <c r="G108" s="10" t="n">
        <v>0.5337</v>
      </c>
    </row>
    <row r="109">
      <c r="A109" t="inlineStr">
        <is>
          <t>3/4</t>
        </is>
      </c>
      <c r="B109" s="10" t="n">
        <v>1.05</v>
      </c>
      <c r="C109" t="n">
        <v>14</v>
      </c>
      <c r="D109" s="10" t="n">
        <v>0.07140000000000001</v>
      </c>
      <c r="E109" s="10" t="n">
        <v>0.339</v>
      </c>
      <c r="F109" s="15" t="n">
        <v>4.7</v>
      </c>
      <c r="G109" s="10" t="n">
        <v>0.5457</v>
      </c>
    </row>
    <row r="110">
      <c r="A110" t="inlineStr">
        <is>
          <t>1</t>
        </is>
      </c>
      <c r="B110" s="10" t="n">
        <v>1.315</v>
      </c>
      <c r="C110" t="n">
        <v>11.5</v>
      </c>
      <c r="D110" s="10" t="n">
        <v>0.08699999999999999</v>
      </c>
      <c r="E110" s="10" t="n">
        <v>0.4</v>
      </c>
      <c r="F110" s="15" t="n">
        <v>4.6</v>
      </c>
      <c r="G110" s="10" t="n">
        <v>0.6828</v>
      </c>
    </row>
    <row r="111">
      <c r="A111" t="inlineStr">
        <is>
          <t>1-1/4</t>
        </is>
      </c>
      <c r="B111" s="10" t="n">
        <v>1.66</v>
      </c>
      <c r="C111" t="n">
        <v>11.5</v>
      </c>
      <c r="D111" s="10" t="n">
        <v>0.08699999999999999</v>
      </c>
      <c r="E111" s="10" t="n">
        <v>0.42</v>
      </c>
      <c r="F111" s="15" t="n">
        <v>4.8</v>
      </c>
      <c r="G111" s="10" t="n">
        <v>0.7068</v>
      </c>
    </row>
    <row r="112">
      <c r="A112" t="inlineStr">
        <is>
          <t>1-1/2</t>
        </is>
      </c>
      <c r="B112" s="10" t="n">
        <v>1.9</v>
      </c>
      <c r="C112" t="n">
        <v>11.5</v>
      </c>
      <c r="D112" s="10" t="n">
        <v>0.08699999999999999</v>
      </c>
      <c r="E112" s="10" t="n">
        <v>0.42</v>
      </c>
      <c r="F112" s="15" t="n">
        <v>4.8</v>
      </c>
      <c r="G112" s="10" t="n">
        <v>0.7235</v>
      </c>
    </row>
    <row r="113">
      <c r="A113" t="inlineStr">
        <is>
          <t>2</t>
        </is>
      </c>
      <c r="B113" s="10" t="n">
        <v>2.375</v>
      </c>
      <c r="C113" t="n">
        <v>11.5</v>
      </c>
      <c r="D113" s="10" t="n">
        <v>0.08699999999999999</v>
      </c>
      <c r="E113" s="10" t="n">
        <v>0.436</v>
      </c>
      <c r="F113" s="15" t="n">
        <v>5</v>
      </c>
      <c r="G113" s="10" t="n">
        <v>0.7565</v>
      </c>
    </row>
    <row r="114">
      <c r="A114" s="2" t="inlineStr">
        <is>
          <t>Basic dimensions per ASME B1.20.1. L1 is the hand-tight engagement length — how far the fitting should screw in by hand. L2 is the effective external thread length. Wrench makeup adds roughly 2–3 turns past hand-tight.</t>
        </is>
      </c>
    </row>
    <row r="116">
      <c r="A116" s="5" t="inlineStr">
        <is>
          <t>10 — COUNTERSINKS &amp; CLEARANCE HOLES — UNIFIED (INCH)</t>
        </is>
      </c>
    </row>
    <row r="117">
      <c r="A117" s="3" t="inlineStr">
        <is>
          <t>Thread</t>
        </is>
      </c>
      <c r="B117" s="3" t="inlineStr">
        <is>
          <t>Tap drill</t>
        </is>
      </c>
      <c r="C117" s="3" t="inlineStr">
        <is>
          <t>Close fit</t>
        </is>
      </c>
      <c r="D117" s="3" t="inlineStr">
        <is>
          <t>Free fit</t>
        </is>
      </c>
      <c r="E117" s="3" t="inlineStr">
        <is>
          <t>82° countersink</t>
        </is>
      </c>
    </row>
    <row r="118">
      <c r="A118" t="inlineStr">
        <is>
          <t>2-56</t>
        </is>
      </c>
      <c r="B118" s="10" t="n">
        <v>0.07000000000000001</v>
      </c>
      <c r="C118" s="10" t="n">
        <v>0.089</v>
      </c>
      <c r="D118" s="10" t="n">
        <v>0.096</v>
      </c>
      <c r="E118" s="10" t="n">
        <v>0.172</v>
      </c>
    </row>
    <row r="119">
      <c r="A119" t="inlineStr">
        <is>
          <t>4-40</t>
        </is>
      </c>
      <c r="B119" s="10" t="n">
        <v>0.089</v>
      </c>
      <c r="C119" s="10" t="n">
        <v>0.116</v>
      </c>
      <c r="D119" s="10" t="n">
        <v>0.1285</v>
      </c>
      <c r="E119" s="10" t="n">
        <v>0.225</v>
      </c>
    </row>
    <row r="120">
      <c r="A120" t="inlineStr">
        <is>
          <t>6-32</t>
        </is>
      </c>
      <c r="B120" s="10" t="n">
        <v>0.1065</v>
      </c>
      <c r="C120" s="10" t="n">
        <v>0.144</v>
      </c>
      <c r="D120" s="10" t="n">
        <v>0.1495</v>
      </c>
      <c r="E120" s="10" t="n">
        <v>0.279</v>
      </c>
    </row>
    <row r="121">
      <c r="A121" t="inlineStr">
        <is>
          <t>8-32</t>
        </is>
      </c>
      <c r="B121" s="10" t="n">
        <v>0.136</v>
      </c>
      <c r="C121" s="10" t="n">
        <v>0.1695</v>
      </c>
      <c r="D121" s="10" t="n">
        <v>0.177</v>
      </c>
      <c r="E121" s="10" t="n">
        <v>0.332</v>
      </c>
    </row>
    <row r="122">
      <c r="A122" t="inlineStr">
        <is>
          <t>10-24</t>
        </is>
      </c>
      <c r="B122" s="10" t="n">
        <v>0.1495</v>
      </c>
      <c r="C122" s="10" t="n">
        <v>0.196</v>
      </c>
      <c r="D122" s="10" t="n">
        <v>0.201</v>
      </c>
      <c r="E122" s="10" t="n">
        <v>0.385</v>
      </c>
    </row>
    <row r="123">
      <c r="A123" t="inlineStr">
        <is>
          <t>10-32</t>
        </is>
      </c>
      <c r="B123" s="10" t="n">
        <v>0.159</v>
      </c>
      <c r="C123" s="10" t="n">
        <v>0.196</v>
      </c>
      <c r="D123" s="10" t="n">
        <v>0.201</v>
      </c>
      <c r="E123" s="10" t="n">
        <v>0.385</v>
      </c>
    </row>
    <row r="124">
      <c r="A124" t="inlineStr">
        <is>
          <t>1/4-20</t>
        </is>
      </c>
      <c r="B124" s="10" t="n">
        <v>0.201</v>
      </c>
      <c r="C124" s="10" t="n">
        <v>0.257</v>
      </c>
      <c r="D124" s="10" t="n">
        <v>0.266</v>
      </c>
      <c r="E124" s="10" t="n">
        <v>0.507</v>
      </c>
    </row>
    <row r="125">
      <c r="A125" t="inlineStr">
        <is>
          <t>5/16-18</t>
        </is>
      </c>
      <c r="B125" s="10" t="n">
        <v>0.257</v>
      </c>
      <c r="C125" s="10" t="n">
        <v>0.323</v>
      </c>
      <c r="D125" s="10" t="n">
        <v>0.332</v>
      </c>
      <c r="E125" s="10" t="n">
        <v>0.635</v>
      </c>
    </row>
    <row r="126">
      <c r="A126" t="inlineStr">
        <is>
          <t>3/8-16</t>
        </is>
      </c>
      <c r="B126" s="10" t="n">
        <v>0.3125</v>
      </c>
      <c r="C126" s="10" t="n">
        <v>0.386</v>
      </c>
      <c r="D126" s="10" t="n">
        <v>0.397</v>
      </c>
      <c r="E126" s="10" t="n">
        <v>0.762</v>
      </c>
    </row>
    <row r="127">
      <c r="A127" t="inlineStr">
        <is>
          <t>1/2-13</t>
        </is>
      </c>
      <c r="B127" s="10" t="n">
        <v>0.4219</v>
      </c>
      <c r="C127" s="10" t="n">
        <v>0.5155999999999999</v>
      </c>
      <c r="D127" s="10" t="n">
        <v>0.5312</v>
      </c>
      <c r="E127" s="10" t="n">
        <v>0.875</v>
      </c>
    </row>
    <row r="129">
      <c r="A129" s="5" t="inlineStr">
        <is>
          <t>11 — COUNTERSINKS &amp; CLEARANCE HOLES — METRIC (MM SIZES IN INCHES)</t>
        </is>
      </c>
    </row>
    <row r="130">
      <c r="A130" s="3" t="inlineStr">
        <is>
          <t>Thread</t>
        </is>
      </c>
      <c r="B130" s="3" t="inlineStr">
        <is>
          <t>Tap drill</t>
        </is>
      </c>
      <c r="C130" s="3" t="inlineStr">
        <is>
          <t>Close fit</t>
        </is>
      </c>
      <c r="D130" s="3" t="inlineStr">
        <is>
          <t>Medium fit</t>
        </is>
      </c>
      <c r="E130" s="3" t="inlineStr">
        <is>
          <t>Free fit</t>
        </is>
      </c>
      <c r="F130" s="3" t="inlineStr">
        <is>
          <t>90° countersink</t>
        </is>
      </c>
    </row>
    <row r="131">
      <c r="A131" t="inlineStr">
        <is>
          <t>M2 x 0.4</t>
        </is>
      </c>
      <c r="B131" s="10" t="n">
        <v>0.063</v>
      </c>
      <c r="C131" s="10" t="n">
        <v>0.08699999999999999</v>
      </c>
      <c r="D131" s="10" t="n">
        <v>0.094</v>
      </c>
      <c r="E131" s="10" t="n">
        <v>0.102</v>
      </c>
      <c r="F131" s="10" t="n">
        <v>0.173</v>
      </c>
    </row>
    <row r="132">
      <c r="A132" t="inlineStr">
        <is>
          <t>M2.5 x 0.45</t>
        </is>
      </c>
      <c r="B132" s="10" t="n">
        <v>0.081</v>
      </c>
      <c r="C132" s="10" t="n">
        <v>0.106</v>
      </c>
      <c r="D132" s="10" t="n">
        <v>0.114</v>
      </c>
      <c r="E132" s="10" t="n">
        <v>0.122</v>
      </c>
      <c r="F132" s="10" t="n">
        <v>0.217</v>
      </c>
    </row>
    <row r="133">
      <c r="A133" t="inlineStr">
        <is>
          <t>M3 x 0.5</t>
        </is>
      </c>
      <c r="B133" s="10" t="n">
        <v>0.098</v>
      </c>
      <c r="C133" s="10" t="n">
        <v>0.126</v>
      </c>
      <c r="D133" s="10" t="n">
        <v>0.134</v>
      </c>
      <c r="E133" s="10" t="n">
        <v>0.142</v>
      </c>
      <c r="F133" s="10" t="n">
        <v>0.248</v>
      </c>
    </row>
    <row r="134">
      <c r="A134" t="inlineStr">
        <is>
          <t>M3.5 x 0.6</t>
        </is>
      </c>
      <c r="B134" s="10" t="n">
        <v>0.113</v>
      </c>
      <c r="C134" s="10" t="n">
        <v>0.146</v>
      </c>
      <c r="D134" s="10" t="n">
        <v>0.154</v>
      </c>
      <c r="E134" s="10" t="n">
        <v>0.165</v>
      </c>
      <c r="F134" s="10" t="n">
        <v>0.323</v>
      </c>
    </row>
    <row r="135">
      <c r="A135" t="inlineStr">
        <is>
          <t>M4 x 0.7</t>
        </is>
      </c>
      <c r="B135" s="10" t="n">
        <v>0.129</v>
      </c>
      <c r="C135" s="10" t="n">
        <v>0.169</v>
      </c>
      <c r="D135" s="10" t="n">
        <v>0.177</v>
      </c>
      <c r="E135" s="10" t="n">
        <v>0.189</v>
      </c>
      <c r="F135" s="10" t="n">
        <v>0.37</v>
      </c>
    </row>
    <row r="136">
      <c r="A136" t="inlineStr">
        <is>
          <t>M5 x 0.8</t>
        </is>
      </c>
      <c r="B136" s="10" t="n">
        <v>0.166</v>
      </c>
      <c r="C136" s="10" t="n">
        <v>0.209</v>
      </c>
      <c r="D136" s="10" t="n">
        <v>0.217</v>
      </c>
      <c r="E136" s="10" t="n">
        <v>0.228</v>
      </c>
      <c r="F136" s="10" t="n">
        <v>0.409</v>
      </c>
    </row>
    <row r="137">
      <c r="A137" t="inlineStr">
        <is>
          <t>M6 x 1</t>
        </is>
      </c>
      <c r="B137" s="10" t="n">
        <v>0.196</v>
      </c>
      <c r="C137" s="10" t="n">
        <v>0.252</v>
      </c>
      <c r="D137" s="10" t="n">
        <v>0.26</v>
      </c>
      <c r="E137" s="10" t="n">
        <v>0.276</v>
      </c>
      <c r="F137" s="10" t="n">
        <v>0.496</v>
      </c>
    </row>
    <row r="138">
      <c r="A138" t="inlineStr">
        <is>
          <t>M8 x 1.25</t>
        </is>
      </c>
      <c r="B138" s="10" t="n">
        <v>0.266</v>
      </c>
      <c r="C138" s="10" t="n">
        <v>0.331</v>
      </c>
      <c r="D138" s="10" t="n">
        <v>0.354</v>
      </c>
      <c r="E138" s="10" t="n">
        <v>0.394</v>
      </c>
      <c r="F138" s="10" t="n">
        <v>0.681</v>
      </c>
    </row>
    <row r="139">
      <c r="A139" t="inlineStr">
        <is>
          <t>M10 x 1.5</t>
        </is>
      </c>
      <c r="B139" s="10" t="n">
        <v>0.332</v>
      </c>
      <c r="C139" s="10" t="n">
        <v>0.413</v>
      </c>
      <c r="D139" s="10" t="n">
        <v>0.433</v>
      </c>
      <c r="E139" s="10" t="n">
        <v>0.472</v>
      </c>
      <c r="F139" s="10" t="n">
        <v>0.787</v>
      </c>
    </row>
    <row r="140">
      <c r="A140" t="inlineStr">
        <is>
          <t>M12 x 1.75</t>
        </is>
      </c>
      <c r="B140" s="10" t="n">
        <v>0.404</v>
      </c>
      <c r="C140" s="10" t="n">
        <v>0.512</v>
      </c>
      <c r="D140" s="10" t="n">
        <v>0.531</v>
      </c>
      <c r="E140" s="10" t="n">
        <v>0.571</v>
      </c>
      <c r="F140" s="10" t="n">
        <v>0.945</v>
      </c>
    </row>
    <row r="142">
      <c r="A142" s="5" t="inlineStr">
        <is>
          <t>12 — PIERCE SIZES (WELD NUTS &amp; FASTENERS)</t>
        </is>
      </c>
    </row>
    <row r="143">
      <c r="A143" s="3" t="inlineStr">
        <is>
          <t>Section</t>
        </is>
      </c>
      <c r="B143" s="3" t="inlineStr">
        <is>
          <t>Item</t>
        </is>
      </c>
      <c r="C143" s="3" t="inlineStr">
        <is>
          <t>Pierce size</t>
        </is>
      </c>
    </row>
    <row r="144">
      <c r="A144" t="inlineStr">
        <is>
          <t>WELD NUTS</t>
        </is>
      </c>
      <c r="B144" t="inlineStr">
        <is>
          <t>DEK M6-1</t>
        </is>
      </c>
      <c r="C144" t="n">
        <v>0.405</v>
      </c>
    </row>
    <row r="145">
      <c r="A145" t="inlineStr">
        <is>
          <t>WELD NUTS</t>
        </is>
      </c>
      <c r="B145" t="inlineStr">
        <is>
          <t>DEK M8-1</t>
        </is>
      </c>
      <c r="C145" t="n">
        <v>0.465</v>
      </c>
    </row>
    <row r="146">
      <c r="A146" t="inlineStr">
        <is>
          <t>WELD NUTS</t>
        </is>
      </c>
      <c r="B146" t="inlineStr">
        <is>
          <t>DEK M10-1.5</t>
        </is>
      </c>
      <c r="C146" t="n">
        <v>0.545</v>
      </c>
    </row>
    <row r="147">
      <c r="A147" t="inlineStr">
        <is>
          <t>WELD NUTS</t>
        </is>
      </c>
      <c r="B147" t="inlineStr">
        <is>
          <t>HS6 M5X0.8</t>
        </is>
      </c>
      <c r="C147" t="n">
        <v>0.308</v>
      </c>
    </row>
    <row r="148">
      <c r="A148" t="inlineStr">
        <is>
          <t>WELD NUTS</t>
        </is>
      </c>
      <c r="B148" t="inlineStr">
        <is>
          <t>HL3/HS3/HL6/HS6-M6</t>
        </is>
      </c>
      <c r="C148" t="n">
        <v>0.365</v>
      </c>
    </row>
    <row r="149">
      <c r="A149" t="inlineStr">
        <is>
          <t>WELD NUTS</t>
        </is>
      </c>
      <c r="B149" t="inlineStr">
        <is>
          <t>HL3/HS3/HL6/HS6-M8</t>
        </is>
      </c>
      <c r="C149" t="n">
        <v>0.442</v>
      </c>
    </row>
    <row r="150">
      <c r="A150" t="inlineStr">
        <is>
          <t>WELD NUTS</t>
        </is>
      </c>
      <c r="B150" t="inlineStr">
        <is>
          <t>HL3/HS3/HL6/HS6-M10</t>
        </is>
      </c>
      <c r="C150" t="n">
        <v>0.541</v>
      </c>
    </row>
    <row r="151">
      <c r="A151" t="inlineStr">
        <is>
          <t>WELD NUTS</t>
        </is>
      </c>
      <c r="B151" t="inlineStr">
        <is>
          <t>HL3/HS3/HL6/HS6-M12</t>
        </is>
      </c>
      <c r="C151" t="n">
        <v>0.638</v>
      </c>
    </row>
    <row r="152">
      <c r="A152" t="inlineStr">
        <is>
          <t>WELD NUTS</t>
        </is>
      </c>
      <c r="B152" t="inlineStr">
        <is>
          <t>HS3L/HL3L/HS6/HM6/HL6-1420</t>
        </is>
      </c>
      <c r="C152" t="n">
        <v>0.411</v>
      </c>
    </row>
    <row r="153">
      <c r="A153" t="inlineStr">
        <is>
          <t>WELD NUTS</t>
        </is>
      </c>
      <c r="B153" t="inlineStr">
        <is>
          <t>HS3L/HL3L/HS6/HM6/HL6-51618</t>
        </is>
      </c>
      <c r="C153" t="n">
        <v>0.474</v>
      </c>
    </row>
    <row r="154">
      <c r="A154" t="inlineStr">
        <is>
          <t>WELD NUTS</t>
        </is>
      </c>
      <c r="B154" t="inlineStr">
        <is>
          <t>HS3L/HL3L/HS6/HL6-3816</t>
        </is>
      </c>
      <c r="C154" t="n">
        <v>0.536</v>
      </c>
    </row>
    <row r="155">
      <c r="A155" t="inlineStr">
        <is>
          <t>WELD NUTS</t>
        </is>
      </c>
      <c r="B155" t="inlineStr">
        <is>
          <t>HS3L/HL3L/HS6/HL6-1213</t>
        </is>
      </c>
      <c r="C155" t="n">
        <v>0.724</v>
      </c>
    </row>
    <row r="156">
      <c r="A156" t="inlineStr">
        <is>
          <t>WELD NUTS</t>
        </is>
      </c>
      <c r="B156" t="inlineStr">
        <is>
          <t>94061-05001 (M5 X .8 SQ WELD NUT)       .234 OLD PIERCE SIZE PRIOR D42070 7/7/15</t>
        </is>
      </c>
      <c r="C156" t="n">
        <v>0.232</v>
      </c>
    </row>
    <row r="157">
      <c r="A157" t="inlineStr">
        <is>
          <t>WELD NUTS</t>
        </is>
      </c>
      <c r="B157" t="inlineStr">
        <is>
          <t>94061-06001 (M6 X 1.0 SQ WELD NUT)              .290 OLD PIERCE SIZE PRIOR D42070 7/7/15</t>
        </is>
      </c>
      <c r="C157" t="n">
        <v>0.272</v>
      </c>
    </row>
    <row r="158">
      <c r="A158" t="inlineStr">
        <is>
          <t>WELD NUTS</t>
        </is>
      </c>
      <c r="B158" t="inlineStr">
        <is>
          <t>94061-08001 (M8 X 1.25 SQ WELD NUT)              .348 OLD PIERCE SIZE PRIOR D42070 7/7/15</t>
        </is>
      </c>
      <c r="C158" t="n">
        <v>0.35</v>
      </c>
    </row>
    <row r="159">
      <c r="A159" t="inlineStr">
        <is>
          <t>WELD NUTS</t>
        </is>
      </c>
      <c r="B159" t="inlineStr">
        <is>
          <t>94061-10001 (M10 X 1.25 SQ WELD NUT)          .437 OLD PIERCE SIZE PRIOR D42070 7/7/15</t>
        </is>
      </c>
      <c r="C159" t="n">
        <v>0.43</v>
      </c>
    </row>
    <row r="160">
      <c r="A160" t="inlineStr">
        <is>
          <t>WELD NUTS</t>
        </is>
      </c>
      <c r="B160" t="inlineStr">
        <is>
          <t>94061-12001 (M12 X 1.25 SQ WELD NUT)    .515 OLD PIERCE SIZE PRIOR D42070 7/7/15</t>
        </is>
      </c>
      <c r="C160" t="n">
        <v>0.508</v>
      </c>
    </row>
    <row r="161">
      <c r="A161" t="inlineStr">
        <is>
          <t>WELD NUTS</t>
        </is>
      </c>
      <c r="B161" t="inlineStr">
        <is>
          <t>M10X1.5 HEXNUT</t>
        </is>
      </c>
      <c r="C161" t="n">
        <v>0.435</v>
      </c>
    </row>
    <row r="162">
      <c r="A162" t="inlineStr">
        <is>
          <t>WELD NUTS</t>
        </is>
      </c>
      <c r="B162" t="inlineStr">
        <is>
          <t>M12X1.25 HEXNUT</t>
        </is>
      </c>
      <c r="C162" t="n">
        <v>0.512</v>
      </c>
    </row>
    <row r="163">
      <c r="A163" t="inlineStr">
        <is>
          <t>WELD NUTS</t>
        </is>
      </c>
      <c r="B163" t="inlineStr">
        <is>
          <t>14M7255 WELD NUT M6 X 1</t>
        </is>
      </c>
      <c r="C163" t="n">
        <v>0.326</v>
      </c>
    </row>
    <row r="164">
      <c r="A164" t="inlineStr">
        <is>
          <t>WELD NUTS</t>
        </is>
      </c>
      <c r="B164" t="inlineStr">
        <is>
          <t>14M7326 FLANGE NUT M8 X 1.25</t>
        </is>
      </c>
      <c r="C164" t="n">
        <v>0.357</v>
      </c>
    </row>
    <row r="165">
      <c r="A165" t="inlineStr">
        <is>
          <t>WELD NUTS</t>
        </is>
      </c>
      <c r="B165" t="inlineStr">
        <is>
          <t>14M7233 WELD NUT M8 X 1.25</t>
        </is>
      </c>
      <c r="C165" t="n">
        <v>0.425</v>
      </c>
    </row>
    <row r="166">
      <c r="A166" t="inlineStr">
        <is>
          <t>WELD NUTS</t>
        </is>
      </c>
      <c r="B166" t="inlineStr">
        <is>
          <t>14M7259 WELD NUT M16</t>
        </is>
      </c>
      <c r="C166" t="n">
        <v>0.752</v>
      </c>
    </row>
    <row r="167">
      <c r="A167" t="inlineStr">
        <is>
          <t>WELD NUTS</t>
        </is>
      </c>
      <c r="B167" t="inlineStr">
        <is>
          <t>BFDIN929M4 (M4 X .7)</t>
        </is>
      </c>
      <c r="C167" t="n">
        <v>0.246</v>
      </c>
    </row>
    <row r="168">
      <c r="A168" t="inlineStr">
        <is>
          <t>WELD STUDS</t>
        </is>
      </c>
      <c r="B168" t="inlineStr">
        <is>
          <t>HW 6-32 THREADS</t>
        </is>
      </c>
      <c r="C168" t="n">
        <v>0.146</v>
      </c>
    </row>
    <row r="169">
      <c r="A169" t="inlineStr">
        <is>
          <t>WELD STUDS</t>
        </is>
      </c>
      <c r="B169" t="inlineStr">
        <is>
          <t>HW 8-32 THREADS</t>
        </is>
      </c>
      <c r="C169" t="n">
        <v>0.174</v>
      </c>
    </row>
    <row r="170">
      <c r="A170" t="inlineStr">
        <is>
          <t>WELD STUDS</t>
        </is>
      </c>
      <c r="B170" t="inlineStr">
        <is>
          <t>HW 10-24 THREADS</t>
        </is>
      </c>
      <c r="C170" t="n">
        <v>0.194</v>
      </c>
    </row>
    <row r="171">
      <c r="A171" t="inlineStr">
        <is>
          <t>WELD STUDS</t>
        </is>
      </c>
      <c r="B171" t="inlineStr">
        <is>
          <t>HW 10-32 THREADS</t>
        </is>
      </c>
      <c r="C171" t="n">
        <v>0.194</v>
      </c>
    </row>
    <row r="172">
      <c r="A172" t="inlineStr">
        <is>
          <t>WELD STUDS</t>
        </is>
      </c>
      <c r="B172" t="inlineStr">
        <is>
          <t>HW 1/4-20 THREADS</t>
        </is>
      </c>
      <c r="C172" t="n">
        <v>0.256</v>
      </c>
    </row>
    <row r="173">
      <c r="A173" t="inlineStr">
        <is>
          <t>WELD STUDS</t>
        </is>
      </c>
      <c r="B173" t="inlineStr">
        <is>
          <t>HW 5/16-18 THREADS</t>
        </is>
      </c>
      <c r="C173" t="n">
        <v>0.318</v>
      </c>
    </row>
    <row r="174">
      <c r="A174" t="inlineStr">
        <is>
          <t>WELD STUDS</t>
        </is>
      </c>
      <c r="B174" t="inlineStr">
        <is>
          <t>HW 3/8-16 THREADS</t>
        </is>
      </c>
      <c r="C174" t="n">
        <v>0.382</v>
      </c>
    </row>
    <row r="175">
      <c r="A175" t="inlineStr">
        <is>
          <t>WELD STUDS</t>
        </is>
      </c>
      <c r="B175" t="inlineStr">
        <is>
          <t>HW 1/2-13 THREADS</t>
        </is>
      </c>
      <c r="C175" t="n">
        <v>0.506</v>
      </c>
    </row>
    <row r="176">
      <c r="A176" t="inlineStr">
        <is>
          <t>WELD STUDS</t>
        </is>
      </c>
      <c r="B176" t="inlineStr">
        <is>
          <t>HWM M3 X .6 THREADS</t>
        </is>
      </c>
      <c r="C176" t="n">
        <v>0.124</v>
      </c>
    </row>
    <row r="177">
      <c r="A177" t="inlineStr">
        <is>
          <t>WELD STUDS</t>
        </is>
      </c>
      <c r="B177" t="inlineStr">
        <is>
          <t>HWM M4 X .7 THREADS</t>
        </is>
      </c>
      <c r="C177" t="n">
        <v>0.164</v>
      </c>
    </row>
    <row r="178">
      <c r="A178" t="inlineStr">
        <is>
          <t>WELD STUDS</t>
        </is>
      </c>
      <c r="B178" t="inlineStr">
        <is>
          <t>HWM M5 X .8 THREADS</t>
        </is>
      </c>
      <c r="C178" t="n">
        <v>0.202</v>
      </c>
    </row>
    <row r="179">
      <c r="A179" t="inlineStr">
        <is>
          <t>WELD STUDS</t>
        </is>
      </c>
      <c r="B179" t="inlineStr">
        <is>
          <t>HWM M6 X 1 THREADS</t>
        </is>
      </c>
      <c r="C179" t="n">
        <v>0.242</v>
      </c>
    </row>
    <row r="180">
      <c r="A180" t="inlineStr">
        <is>
          <t>WELD STUDS</t>
        </is>
      </c>
      <c r="B180" t="inlineStr">
        <is>
          <t>HWM M8 X 1.25 THREADS</t>
        </is>
      </c>
      <c r="C180" t="n">
        <v>0.322</v>
      </c>
    </row>
    <row r="181">
      <c r="A181" t="inlineStr">
        <is>
          <t>WELD STUDS</t>
        </is>
      </c>
      <c r="B181" t="inlineStr">
        <is>
          <t>HWM M10 X 1.5 THREADS</t>
        </is>
      </c>
      <c r="C181" t="n">
        <v>0.4</v>
      </c>
    </row>
    <row r="182">
      <c r="A182" t="inlineStr">
        <is>
          <t>WELD STUDS</t>
        </is>
      </c>
      <c r="B182" t="inlineStr">
        <is>
          <t>HWM M12 X 1.75 THREADS</t>
        </is>
      </c>
      <c r="C182" t="n">
        <v>0.478</v>
      </c>
    </row>
    <row r="183">
      <c r="A183" t="inlineStr">
        <is>
          <t>ROUND ATLAS HDW</t>
        </is>
      </c>
      <c r="B183" t="inlineStr">
        <is>
          <t>AELS8-420-165</t>
        </is>
      </c>
      <c r="C183" t="n">
        <v>0.396</v>
      </c>
    </row>
    <row r="184">
      <c r="A184" t="inlineStr">
        <is>
          <t>ROUND ATLAS HDW</t>
        </is>
      </c>
      <c r="B184" t="inlineStr">
        <is>
          <t>AELS8-518-312</t>
        </is>
      </c>
      <c r="C184" t="n">
        <v>0.536</v>
      </c>
    </row>
    <row r="185">
      <c r="A185" t="inlineStr">
        <is>
          <t>ROUND ATLAS HDW</t>
        </is>
      </c>
      <c r="B185" t="inlineStr">
        <is>
          <t>AELB-610-4.2</t>
        </is>
      </c>
      <c r="C185" t="n">
        <v>0.398</v>
      </c>
    </row>
    <row r="186">
      <c r="A186" t="inlineStr">
        <is>
          <t>ROUND ATLAS HDW</t>
        </is>
      </c>
      <c r="B186" t="inlineStr">
        <is>
          <t>AEKS8-518-312</t>
        </is>
      </c>
      <c r="C186" t="n">
        <v>0.536</v>
      </c>
    </row>
    <row r="187">
      <c r="A187" t="inlineStr">
        <is>
          <t>ROUND ATLAS HDW</t>
        </is>
      </c>
      <c r="B187" t="inlineStr">
        <is>
          <t>AEKS8-610-4.2</t>
        </is>
      </c>
      <c r="C187" t="n">
        <v>0.398</v>
      </c>
    </row>
    <row r="188">
      <c r="A188" t="inlineStr">
        <is>
          <t>HEX ATLAS HDW</t>
        </is>
      </c>
      <c r="B188" t="inlineStr">
        <is>
          <t>AEHS8-420-165</t>
        </is>
      </c>
      <c r="C188" t="inlineStr">
        <is>
          <t>.380 HEX</t>
        </is>
      </c>
    </row>
    <row r="189">
      <c r="A189" t="inlineStr">
        <is>
          <t>HEX ATLAS HDW</t>
        </is>
      </c>
      <c r="B189" t="inlineStr">
        <is>
          <t>AEHS8-580-3.3</t>
        </is>
      </c>
      <c r="C189" t="inlineStr">
        <is>
          <t>.286 HEX</t>
        </is>
      </c>
    </row>
    <row r="190">
      <c r="A190" t="inlineStr">
        <is>
          <t>HEX ATLAS HDW</t>
        </is>
      </c>
      <c r="B190" t="inlineStr">
        <is>
          <t>AEHS8-610-4.2</t>
        </is>
      </c>
      <c r="C190" t="inlineStr">
        <is>
          <t>.380 HEX</t>
        </is>
      </c>
    </row>
    <row r="191">
      <c r="A191" t="inlineStr">
        <is>
          <t>HEX ATLAS HDW</t>
        </is>
      </c>
      <c r="B191" t="inlineStr">
        <is>
          <t>AEHS8-610-6.6</t>
        </is>
      </c>
      <c r="C191" t="inlineStr">
        <is>
          <t>.380 HEX</t>
        </is>
      </c>
    </row>
    <row r="192">
      <c r="A192" t="inlineStr">
        <is>
          <t>HEX ATLAS HDW</t>
        </is>
      </c>
      <c r="B192" t="inlineStr">
        <is>
          <t>AEHS8-1015-3.8</t>
        </is>
      </c>
      <c r="C192" t="inlineStr">
        <is>
          <t>.504 HEX</t>
        </is>
      </c>
    </row>
    <row r="194">
      <c r="A194" s="5" t="inlineStr">
        <is>
          <t>13 — SOCKET HEAD CAP SCREWS — HEAD &amp; HEX SIZES (ASME B18.3)</t>
        </is>
      </c>
    </row>
    <row r="195">
      <c r="A195" s="3" t="inlineStr">
        <is>
          <t>Size</t>
        </is>
      </c>
      <c r="B195" s="3" t="inlineStr">
        <is>
          <t>Head dia (max)</t>
        </is>
      </c>
      <c r="C195" s="3" t="inlineStr">
        <is>
          <t>Head ht (max)</t>
        </is>
      </c>
      <c r="D195" s="3" t="inlineStr">
        <is>
          <t>Hex socket</t>
        </is>
      </c>
    </row>
    <row r="196">
      <c r="A196" t="inlineStr">
        <is>
          <t>#0-80</t>
        </is>
      </c>
      <c r="B196" s="11" t="n">
        <v>0.096</v>
      </c>
      <c r="C196" s="11" t="n">
        <v>0.06</v>
      </c>
      <c r="D196" t="inlineStr">
        <is>
          <t>0.050</t>
        </is>
      </c>
    </row>
    <row r="197">
      <c r="A197" t="inlineStr">
        <is>
          <t>#1-64</t>
        </is>
      </c>
      <c r="B197" s="11" t="n">
        <v>0.118</v>
      </c>
      <c r="C197" s="11" t="n">
        <v>0.073</v>
      </c>
      <c r="D197" t="inlineStr">
        <is>
          <t>0.062 (1/16)</t>
        </is>
      </c>
    </row>
    <row r="198">
      <c r="A198" t="inlineStr">
        <is>
          <t>#2-56</t>
        </is>
      </c>
      <c r="B198" s="11" t="n">
        <v>0.14</v>
      </c>
      <c r="C198" s="11" t="n">
        <v>0.08599999999999999</v>
      </c>
      <c r="D198" t="inlineStr">
        <is>
          <t>0.078 (5/64)</t>
        </is>
      </c>
    </row>
    <row r="199">
      <c r="A199" t="inlineStr">
        <is>
          <t>#3-48</t>
        </is>
      </c>
      <c r="B199" s="11" t="n">
        <v>0.161</v>
      </c>
      <c r="C199" s="11" t="n">
        <v>0.099</v>
      </c>
      <c r="D199" t="inlineStr">
        <is>
          <t>0.078 (5/64)</t>
        </is>
      </c>
    </row>
    <row r="200">
      <c r="A200" t="inlineStr">
        <is>
          <t>#4-40</t>
        </is>
      </c>
      <c r="B200" s="11" t="n">
        <v>0.183</v>
      </c>
      <c r="C200" s="11" t="n">
        <v>0.112</v>
      </c>
      <c r="D200" t="inlineStr">
        <is>
          <t>0.093 (3/32)</t>
        </is>
      </c>
    </row>
    <row r="201">
      <c r="A201" t="inlineStr">
        <is>
          <t>#5-40</t>
        </is>
      </c>
      <c r="B201" s="11" t="n">
        <v>0.205</v>
      </c>
      <c r="C201" s="11" t="n">
        <v>0.125</v>
      </c>
      <c r="D201" t="inlineStr">
        <is>
          <t>0.093 (3/32)</t>
        </is>
      </c>
    </row>
    <row r="202">
      <c r="A202" t="inlineStr">
        <is>
          <t>#6-32</t>
        </is>
      </c>
      <c r="B202" s="11" t="n">
        <v>0.226</v>
      </c>
      <c r="C202" s="11" t="n">
        <v>0.138</v>
      </c>
      <c r="D202" t="inlineStr">
        <is>
          <t>0.109 (7/64)</t>
        </is>
      </c>
    </row>
    <row r="203">
      <c r="A203" t="inlineStr">
        <is>
          <t>#8-32</t>
        </is>
      </c>
      <c r="B203" s="11" t="n">
        <v>0.27</v>
      </c>
      <c r="C203" s="11" t="n">
        <v>0.164</v>
      </c>
      <c r="D203" t="inlineStr">
        <is>
          <t>0.141 (9/64)</t>
        </is>
      </c>
    </row>
    <row r="204">
      <c r="A204" t="inlineStr">
        <is>
          <t>#10-32</t>
        </is>
      </c>
      <c r="B204" s="11" t="n">
        <v>0.312</v>
      </c>
      <c r="C204" s="11" t="n">
        <v>0.19</v>
      </c>
      <c r="D204" t="inlineStr">
        <is>
          <t>0.156 (5/32)</t>
        </is>
      </c>
    </row>
    <row r="205">
      <c r="A205" t="inlineStr">
        <is>
          <t>1/4-20</t>
        </is>
      </c>
      <c r="B205" s="11" t="n">
        <v>0.375</v>
      </c>
      <c r="C205" s="11" t="n">
        <v>0.25</v>
      </c>
      <c r="D205" t="inlineStr">
        <is>
          <t>0.188 (3/16)</t>
        </is>
      </c>
    </row>
    <row r="206">
      <c r="A206" t="inlineStr">
        <is>
          <t>5/16-18</t>
        </is>
      </c>
      <c r="B206" s="11" t="n">
        <v>0.469</v>
      </c>
      <c r="C206" s="11" t="n">
        <v>0.312</v>
      </c>
      <c r="D206" t="inlineStr">
        <is>
          <t>0.250 (1/4)</t>
        </is>
      </c>
    </row>
    <row r="207">
      <c r="A207" t="inlineStr">
        <is>
          <t>3/8-16</t>
        </is>
      </c>
      <c r="B207" s="11" t="n">
        <v>0.5620000000000001</v>
      </c>
      <c r="C207" s="11" t="n">
        <v>0.375</v>
      </c>
      <c r="D207" t="inlineStr">
        <is>
          <t>0.312 (5/16)</t>
        </is>
      </c>
    </row>
    <row r="208">
      <c r="A208" t="inlineStr">
        <is>
          <t>7/16-14</t>
        </is>
      </c>
      <c r="B208" s="11" t="n">
        <v>0.625</v>
      </c>
      <c r="C208" s="11" t="n">
        <v>0.437</v>
      </c>
      <c r="D208" t="inlineStr">
        <is>
          <t>0.375 (3/8)</t>
        </is>
      </c>
    </row>
    <row r="209">
      <c r="A209" t="inlineStr">
        <is>
          <t>1/2-13</t>
        </is>
      </c>
      <c r="B209" s="11" t="n">
        <v>0.75</v>
      </c>
      <c r="C209" s="11" t="n">
        <v>0.5</v>
      </c>
      <c r="D209" t="inlineStr">
        <is>
          <t>0.375 (3/8)</t>
        </is>
      </c>
    </row>
    <row r="210">
      <c r="A210" t="inlineStr">
        <is>
          <t>5/8-11</t>
        </is>
      </c>
      <c r="B210" s="11" t="n">
        <v>0.9379999999999999</v>
      </c>
      <c r="C210" s="11" t="n">
        <v>0.625</v>
      </c>
      <c r="D210" t="inlineStr">
        <is>
          <t>0.500 (1/2)</t>
        </is>
      </c>
    </row>
    <row r="211">
      <c r="A211" t="inlineStr">
        <is>
          <t>3/4-10</t>
        </is>
      </c>
      <c r="B211" s="11" t="n">
        <v>1.125</v>
      </c>
      <c r="C211" s="11" t="n">
        <v>0.75</v>
      </c>
      <c r="D211" t="inlineStr">
        <is>
          <t>0.625 (5/8)</t>
        </is>
      </c>
    </row>
    <row r="212">
      <c r="A212" t="inlineStr">
        <is>
          <t>7/8-9</t>
        </is>
      </c>
      <c r="B212" s="11" t="n">
        <v>1.312</v>
      </c>
      <c r="C212" s="11" t="n">
        <v>0.875</v>
      </c>
      <c r="D212" t="inlineStr">
        <is>
          <t>0.750 (3/4)</t>
        </is>
      </c>
    </row>
    <row r="213">
      <c r="A213" t="inlineStr">
        <is>
          <t>1-8</t>
        </is>
      </c>
      <c r="B213" s="11" t="n">
        <v>1.5</v>
      </c>
      <c r="C213" s="11" t="n">
        <v>1</v>
      </c>
      <c r="D213" t="inlineStr">
        <is>
          <t>0.750 (3/4)</t>
        </is>
      </c>
    </row>
    <row r="214">
      <c r="A214" t="inlineStr">
        <is>
          <t>1-1/4-7</t>
        </is>
      </c>
      <c r="B214" s="11" t="n">
        <v>1.875</v>
      </c>
      <c r="C214" s="11" t="n">
        <v>1.25</v>
      </c>
      <c r="D214" t="inlineStr">
        <is>
          <t>1.000</t>
        </is>
      </c>
    </row>
    <row r="215">
      <c r="A215" s="2" t="inlineStr">
        <is>
          <t>Head diameter and height are maximums, inches. Use the head diameter to size a counterbore, and allow clearance on top of it.</t>
        </is>
      </c>
    </row>
    <row r="217">
      <c r="A217" s="5" t="inlineStr">
        <is>
          <t>14 — SOCKET HEAD CAP SCREWS — METRIC (ISO 4762, MM)</t>
        </is>
      </c>
    </row>
    <row r="218">
      <c r="A218" s="3" t="inlineStr">
        <is>
          <t>Size</t>
        </is>
      </c>
      <c r="B218" s="3" t="inlineStr">
        <is>
          <t>Head dia (max)</t>
        </is>
      </c>
      <c r="C218" s="3" t="inlineStr">
        <is>
          <t>Head ht (max)</t>
        </is>
      </c>
      <c r="D218" s="3" t="inlineStr">
        <is>
          <t>Hex socket</t>
        </is>
      </c>
    </row>
    <row r="219">
      <c r="A219" t="inlineStr">
        <is>
          <t>M1.6</t>
        </is>
      </c>
      <c r="B219" s="15" t="n">
        <v>3</v>
      </c>
      <c r="C219" s="15" t="n">
        <v>1.6</v>
      </c>
      <c r="D219" t="n">
        <v>1.5</v>
      </c>
    </row>
    <row r="220">
      <c r="A220" t="inlineStr">
        <is>
          <t>M2</t>
        </is>
      </c>
      <c r="B220" s="15" t="n">
        <v>3.8</v>
      </c>
      <c r="C220" s="15" t="n">
        <v>2</v>
      </c>
      <c r="D220" t="n">
        <v>1.5</v>
      </c>
    </row>
    <row r="221">
      <c r="A221" t="inlineStr">
        <is>
          <t>M2.5</t>
        </is>
      </c>
      <c r="B221" s="15" t="n">
        <v>4.5</v>
      </c>
      <c r="C221" s="15" t="n">
        <v>2.5</v>
      </c>
      <c r="D221" t="n">
        <v>2</v>
      </c>
    </row>
    <row r="222">
      <c r="A222" t="inlineStr">
        <is>
          <t>M3</t>
        </is>
      </c>
      <c r="B222" s="15" t="n">
        <v>5.5</v>
      </c>
      <c r="C222" s="15" t="n">
        <v>3</v>
      </c>
      <c r="D222" t="n">
        <v>2.5</v>
      </c>
    </row>
    <row r="223">
      <c r="A223" t="inlineStr">
        <is>
          <t>M4</t>
        </is>
      </c>
      <c r="B223" s="15" t="n">
        <v>7</v>
      </c>
      <c r="C223" s="15" t="n">
        <v>4</v>
      </c>
      <c r="D223" t="n">
        <v>3</v>
      </c>
    </row>
    <row r="224">
      <c r="A224" t="inlineStr">
        <is>
          <t>M5</t>
        </is>
      </c>
      <c r="B224" s="15" t="n">
        <v>8.5</v>
      </c>
      <c r="C224" s="15" t="n">
        <v>5</v>
      </c>
      <c r="D224" t="n">
        <v>4</v>
      </c>
    </row>
    <row r="225">
      <c r="A225" t="inlineStr">
        <is>
          <t>M6</t>
        </is>
      </c>
      <c r="B225" s="15" t="n">
        <v>10</v>
      </c>
      <c r="C225" s="15" t="n">
        <v>6</v>
      </c>
      <c r="D225" t="n">
        <v>5</v>
      </c>
    </row>
    <row r="226">
      <c r="A226" t="inlineStr">
        <is>
          <t>M8</t>
        </is>
      </c>
      <c r="B226" s="15" t="n">
        <v>13</v>
      </c>
      <c r="C226" s="15" t="n">
        <v>8</v>
      </c>
      <c r="D226" t="n">
        <v>6</v>
      </c>
    </row>
    <row r="227">
      <c r="A227" t="inlineStr">
        <is>
          <t>M10</t>
        </is>
      </c>
      <c r="B227" s="15" t="n">
        <v>16</v>
      </c>
      <c r="C227" s="15" t="n">
        <v>10</v>
      </c>
      <c r="D227" t="n">
        <v>8</v>
      </c>
    </row>
    <row r="228">
      <c r="A228" t="inlineStr">
        <is>
          <t>M12</t>
        </is>
      </c>
      <c r="B228" s="15" t="n">
        <v>18</v>
      </c>
      <c r="C228" s="15" t="n">
        <v>12</v>
      </c>
      <c r="D228" t="n">
        <v>10</v>
      </c>
    </row>
    <row r="229">
      <c r="A229" t="inlineStr">
        <is>
          <t>M14</t>
        </is>
      </c>
      <c r="B229" s="15" t="n">
        <v>21</v>
      </c>
      <c r="C229" s="15" t="n">
        <v>14</v>
      </c>
      <c r="D229" t="n">
        <v>10</v>
      </c>
    </row>
    <row r="230">
      <c r="A230" t="inlineStr">
        <is>
          <t>M16</t>
        </is>
      </c>
      <c r="B230" s="15" t="n">
        <v>24</v>
      </c>
      <c r="C230" s="15" t="n">
        <v>16</v>
      </c>
      <c r="D230" t="n">
        <v>14</v>
      </c>
    </row>
    <row r="231">
      <c r="A231" t="inlineStr">
        <is>
          <t>M20</t>
        </is>
      </c>
      <c r="B231" s="15" t="n">
        <v>30</v>
      </c>
      <c r="C231" s="15" t="n">
        <v>20</v>
      </c>
      <c r="D231" t="n">
        <v>17</v>
      </c>
    </row>
    <row r="232">
      <c r="A232" t="inlineStr">
        <is>
          <t>M24</t>
        </is>
      </c>
      <c r="B232" s="15" t="n">
        <v>36</v>
      </c>
      <c r="C232" s="15" t="n">
        <v>24</v>
      </c>
      <c r="D232" t="n">
        <v>19</v>
      </c>
    </row>
    <row r="233">
      <c r="A233" s="2" t="inlineStr">
        <is>
          <t>Millimeters; head diameter and height are maximums.</t>
        </is>
      </c>
    </row>
    <row r="235">
      <c r="A235" s="5" t="inlineStr">
        <is>
          <t>15 — FLAT HEAD (COUNTERSUNK) SCREWS — METRIC (ISO 10642, 90°, MM)</t>
        </is>
      </c>
    </row>
    <row r="236">
      <c r="A236" s="3" t="inlineStr">
        <is>
          <t>Size</t>
        </is>
      </c>
      <c r="B236" s="3" t="inlineStr">
        <is>
          <t>Head dia (max)</t>
        </is>
      </c>
      <c r="C236" s="3" t="inlineStr">
        <is>
          <t>Head ht (max)</t>
        </is>
      </c>
      <c r="D236" s="3" t="inlineStr">
        <is>
          <t>Hex socket</t>
        </is>
      </c>
    </row>
    <row r="237">
      <c r="A237" t="inlineStr">
        <is>
          <t>M2</t>
        </is>
      </c>
      <c r="B237" s="15" t="n">
        <v>4.4</v>
      </c>
      <c r="C237" s="15" t="n">
        <v>1.3</v>
      </c>
      <c r="D237" t="n">
        <v>1.25</v>
      </c>
    </row>
    <row r="238">
      <c r="A238" t="inlineStr">
        <is>
          <t>M2.5</t>
        </is>
      </c>
      <c r="B238" s="15" t="n">
        <v>5.5</v>
      </c>
      <c r="C238" s="15" t="n">
        <v>1.6</v>
      </c>
      <c r="D238" t="n">
        <v>1.5</v>
      </c>
    </row>
    <row r="239">
      <c r="A239" t="inlineStr">
        <is>
          <t>M3</t>
        </is>
      </c>
      <c r="B239" s="15" t="n">
        <v>6.7</v>
      </c>
      <c r="C239" s="15" t="n">
        <v>1.9</v>
      </c>
      <c r="D239" t="n">
        <v>2</v>
      </c>
    </row>
    <row r="240">
      <c r="A240" t="inlineStr">
        <is>
          <t>M4</t>
        </is>
      </c>
      <c r="B240" s="15" t="n">
        <v>8.9</v>
      </c>
      <c r="C240" s="15" t="n">
        <v>2.5</v>
      </c>
      <c r="D240" t="n">
        <v>2.5</v>
      </c>
    </row>
    <row r="241">
      <c r="A241" t="inlineStr">
        <is>
          <t>M5</t>
        </is>
      </c>
      <c r="B241" s="15" t="n">
        <v>11</v>
      </c>
      <c r="C241" s="15" t="n">
        <v>3</v>
      </c>
      <c r="D241" t="n">
        <v>3</v>
      </c>
    </row>
    <row r="242">
      <c r="A242" t="inlineStr">
        <is>
          <t>M6</t>
        </is>
      </c>
      <c r="B242" s="15" t="n">
        <v>13.2</v>
      </c>
      <c r="C242" s="15" t="n">
        <v>3.6</v>
      </c>
      <c r="D242" t="n">
        <v>4</v>
      </c>
    </row>
    <row r="243">
      <c r="A243" t="inlineStr">
        <is>
          <t>M8</t>
        </is>
      </c>
      <c r="B243" s="15" t="n">
        <v>17.5</v>
      </c>
      <c r="C243" s="15" t="n">
        <v>4.8</v>
      </c>
      <c r="D243" t="n">
        <v>5</v>
      </c>
    </row>
    <row r="244">
      <c r="A244" t="inlineStr">
        <is>
          <t>M10</t>
        </is>
      </c>
      <c r="B244" s="15" t="n">
        <v>21.9</v>
      </c>
      <c r="C244" s="15" t="n">
        <v>6</v>
      </c>
      <c r="D244" t="n">
        <v>6</v>
      </c>
    </row>
    <row r="245">
      <c r="A245" t="inlineStr">
        <is>
          <t>M12</t>
        </is>
      </c>
      <c r="B245" s="15" t="n">
        <v>25.9</v>
      </c>
      <c r="C245" s="15" t="n">
        <v>7.2</v>
      </c>
      <c r="D245" t="n">
        <v>8</v>
      </c>
    </row>
    <row r="246">
      <c r="A246" t="inlineStr">
        <is>
          <t>M16</t>
        </is>
      </c>
      <c r="B246" s="15" t="n">
        <v>33.6</v>
      </c>
      <c r="C246" s="15" t="n">
        <v>9.6</v>
      </c>
      <c r="D246" t="n">
        <v>10</v>
      </c>
    </row>
    <row r="247">
      <c r="A247" t="inlineStr">
        <is>
          <t>M20</t>
        </is>
      </c>
      <c r="B247" s="15" t="n">
        <v>41.3</v>
      </c>
      <c r="C247" s="15" t="n">
        <v>12</v>
      </c>
      <c r="D247" t="n">
        <v>12</v>
      </c>
    </row>
    <row r="249">
      <c r="A249" s="5" t="inlineStr">
        <is>
          <t>16 — FLAT HEAD (COUNTERSUNK) SCREWS — INCH (ASME B18.3, 82°, INCHES)</t>
        </is>
      </c>
    </row>
    <row r="250">
      <c r="A250" s="3" t="inlineStr">
        <is>
          <t>Size</t>
        </is>
      </c>
      <c r="B250" s="3" t="inlineStr">
        <is>
          <t>Head dia (max)</t>
        </is>
      </c>
      <c r="C250" s="3" t="inlineStr">
        <is>
          <t>Head ht (max)</t>
        </is>
      </c>
    </row>
    <row r="251">
      <c r="A251" t="inlineStr">
        <is>
          <t>#4-40</t>
        </is>
      </c>
      <c r="B251" s="11" t="n">
        <v>0.225</v>
      </c>
      <c r="C251" s="11" t="n">
        <v>0.075</v>
      </c>
    </row>
    <row r="252">
      <c r="A252" t="inlineStr">
        <is>
          <t>#6-32</t>
        </is>
      </c>
      <c r="B252" s="11" t="n">
        <v>0.279</v>
      </c>
      <c r="C252" s="11" t="n">
        <v>0.089</v>
      </c>
    </row>
    <row r="253">
      <c r="A253" t="inlineStr">
        <is>
          <t>#8-32</t>
        </is>
      </c>
      <c r="B253" s="11" t="n">
        <v>0.332</v>
      </c>
      <c r="C253" s="11" t="n">
        <v>0.104</v>
      </c>
    </row>
    <row r="254">
      <c r="A254" t="inlineStr">
        <is>
          <t>#10-32</t>
        </is>
      </c>
      <c r="B254" s="11" t="n">
        <v>0.385</v>
      </c>
      <c r="C254" s="11" t="n">
        <v>0.118</v>
      </c>
    </row>
    <row r="255">
      <c r="A255" t="inlineStr">
        <is>
          <t>1/4-20</t>
        </is>
      </c>
      <c r="B255" s="11" t="n">
        <v>0.472</v>
      </c>
      <c r="C255" s="11" t="n">
        <v>0.153</v>
      </c>
    </row>
    <row r="256">
      <c r="A256" t="inlineStr">
        <is>
          <t>5/16-18</t>
        </is>
      </c>
      <c r="B256" s="11" t="n">
        <v>0.59</v>
      </c>
      <c r="C256" s="11" t="n">
        <v>0.191</v>
      </c>
    </row>
    <row r="257">
      <c r="A257" t="inlineStr">
        <is>
          <t>3/8-16</t>
        </is>
      </c>
      <c r="B257" s="11" t="n">
        <v>0.708</v>
      </c>
      <c r="C257" s="11" t="n">
        <v>0.23</v>
      </c>
    </row>
    <row r="258">
      <c r="A258" s="2" t="inlineStr">
        <is>
          <t>Nominal catalog dimensions — the head height is the countersink depth that leaves the head flush. Check your fastener maker’s drawing for production work.</t>
        </is>
      </c>
    </row>
  </sheetData>
  <pageMargins left="0.75" right="0.75" top="1" bottom="1" header="0.5" footer="0.5"/>
  <headerFooter>
    <oddHeader>&amp;C&amp;9 H38 Quick Calc — Highway 38 Solutions</oddHeader>
    <oddFooter/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4" customWidth="1" min="4" max="4"/>
  </cols>
  <sheetData>
    <row r="1">
      <c r="A1" s="1" t="inlineStr">
        <is>
          <t>DRILL CHART</t>
        </is>
      </c>
    </row>
    <row r="2">
      <c r="A2" s="2" t="inlineStr">
        <is>
          <t>H38 Quick Calc · Highway 38 Solutions — 220 drills: number, letter, fraction and metric sizes.</t>
        </is>
      </c>
    </row>
    <row r="4">
      <c r="A4" s="3" t="inlineStr">
        <is>
          <t>Size</t>
        </is>
      </c>
      <c r="B4" s="3" t="inlineStr">
        <is>
          <t>Decimal (in)</t>
        </is>
      </c>
      <c r="C4" s="3" t="inlineStr">
        <is>
          <t>mm</t>
        </is>
      </c>
      <c r="D4" s="3" t="inlineStr">
        <is>
          <t>Tap drill for</t>
        </is>
      </c>
    </row>
    <row r="5">
      <c r="A5" t="inlineStr">
        <is>
          <t>80</t>
        </is>
      </c>
      <c r="B5" s="10" t="n">
        <v>0.0135</v>
      </c>
      <c r="C5" s="11" t="n">
        <v>0.3429</v>
      </c>
    </row>
    <row r="6">
      <c r="B6" s="10" t="n">
        <v>0.1181102362204725</v>
      </c>
      <c r="C6" s="11" t="n">
        <v>3</v>
      </c>
    </row>
    <row r="7">
      <c r="A7" t="inlineStr">
        <is>
          <t>11/32</t>
        </is>
      </c>
      <c r="B7" s="10" t="n">
        <v>0.3438</v>
      </c>
      <c r="C7" s="11" t="n">
        <v>8.732519999999999</v>
      </c>
      <c r="D7" t="inlineStr">
        <is>
          <t>3/8-28, 3/8-32</t>
        </is>
      </c>
    </row>
    <row r="8">
      <c r="A8" t="inlineStr">
        <is>
          <t>79</t>
        </is>
      </c>
      <c r="B8" s="10" t="n">
        <v>0.0145</v>
      </c>
      <c r="C8" s="11" t="n">
        <v>0.3683</v>
      </c>
    </row>
    <row r="9">
      <c r="A9" t="inlineStr">
        <is>
          <t>31</t>
        </is>
      </c>
      <c r="B9" s="10" t="n">
        <v>0.12</v>
      </c>
      <c r="C9" s="11" t="n">
        <v>3.048</v>
      </c>
    </row>
    <row r="10">
      <c r="A10" t="inlineStr">
        <is>
          <t>S</t>
        </is>
      </c>
      <c r="B10" s="10" t="n">
        <v>0.348</v>
      </c>
      <c r="C10" s="11" t="n">
        <v>8.839199999999998</v>
      </c>
    </row>
    <row r="11">
      <c r="A11" t="inlineStr">
        <is>
          <t>1/64</t>
        </is>
      </c>
      <c r="B11" s="10" t="n">
        <v>0.0156</v>
      </c>
      <c r="C11" s="11" t="n">
        <v>0.39624</v>
      </c>
    </row>
    <row r="12">
      <c r="A12" t="inlineStr">
        <is>
          <t>1/8</t>
        </is>
      </c>
      <c r="B12" s="10" t="n">
        <v>0.125</v>
      </c>
      <c r="C12" s="11" t="n">
        <v>3.175</v>
      </c>
    </row>
    <row r="13">
      <c r="B13" s="10" t="n">
        <v>0.3543307086614174</v>
      </c>
      <c r="C13" s="11" t="n">
        <v>9</v>
      </c>
    </row>
    <row r="14">
      <c r="B14" s="10" t="n">
        <v>0.015748031496063</v>
      </c>
      <c r="C14" s="11" t="n">
        <v>0.4</v>
      </c>
    </row>
    <row r="15">
      <c r="A15" t="inlineStr">
        <is>
          <t>30</t>
        </is>
      </c>
      <c r="B15" s="10" t="n">
        <v>0.1285</v>
      </c>
      <c r="C15" s="11" t="n">
        <v>3.2639</v>
      </c>
    </row>
    <row r="16">
      <c r="A16" t="inlineStr">
        <is>
          <t>T</t>
        </is>
      </c>
      <c r="B16" s="10" t="n">
        <v>0.358</v>
      </c>
      <c r="C16" s="11" t="n">
        <v>9.0932</v>
      </c>
    </row>
    <row r="17">
      <c r="A17" t="inlineStr">
        <is>
          <t>78</t>
        </is>
      </c>
      <c r="B17" s="10" t="n">
        <v>0.016</v>
      </c>
      <c r="C17" s="11" t="n">
        <v>0.4064</v>
      </c>
    </row>
    <row r="18">
      <c r="B18" s="10" t="n">
        <v>0.1299212598425197</v>
      </c>
      <c r="C18" s="11" t="n">
        <v>3.3</v>
      </c>
      <c r="D18" t="inlineStr">
        <is>
          <t>M4 x 0.7</t>
        </is>
      </c>
    </row>
    <row r="19">
      <c r="A19" t="inlineStr">
        <is>
          <t>23/64</t>
        </is>
      </c>
      <c r="B19" s="10" t="n">
        <v>0.3594</v>
      </c>
      <c r="C19" s="11" t="n">
        <v>9.12876</v>
      </c>
    </row>
    <row r="20">
      <c r="A20" t="inlineStr">
        <is>
          <t>77</t>
        </is>
      </c>
      <c r="B20" s="10" t="n">
        <v>0.018</v>
      </c>
      <c r="C20" s="11" t="n">
        <v>0.4571999999999999</v>
      </c>
    </row>
    <row r="21">
      <c r="A21" t="inlineStr">
        <is>
          <t>29</t>
        </is>
      </c>
      <c r="B21" s="10" t="n">
        <v>0.136</v>
      </c>
      <c r="C21" s="11" t="n">
        <v>3.4544</v>
      </c>
      <c r="D21" t="inlineStr">
        <is>
          <t>#8-32, #8-36</t>
        </is>
      </c>
    </row>
    <row r="22">
      <c r="A22" t="inlineStr">
        <is>
          <t>U</t>
        </is>
      </c>
      <c r="B22" s="10" t="n">
        <v>0.368</v>
      </c>
      <c r="C22" s="11" t="n">
        <v>9.347199999999999</v>
      </c>
      <c r="D22" t="inlineStr">
        <is>
          <t>7/16-14</t>
        </is>
      </c>
    </row>
    <row r="23">
      <c r="B23" s="10" t="n">
        <v>0.01968503937007874</v>
      </c>
      <c r="C23" s="11" t="n">
        <v>0.5</v>
      </c>
    </row>
    <row r="24">
      <c r="A24" t="inlineStr">
        <is>
          <t>28</t>
        </is>
      </c>
      <c r="B24" s="10" t="n">
        <v>0.1405</v>
      </c>
      <c r="C24" s="11" t="n">
        <v>3.5687</v>
      </c>
    </row>
    <row r="25">
      <c r="A25" t="inlineStr">
        <is>
          <t>3/8</t>
        </is>
      </c>
      <c r="B25" s="10" t="n">
        <v>0.375</v>
      </c>
      <c r="C25" s="11" t="n">
        <v>9.524999999999999</v>
      </c>
      <c r="D25" t="inlineStr">
        <is>
          <t>7/16-16</t>
        </is>
      </c>
    </row>
    <row r="26">
      <c r="A26" t="inlineStr">
        <is>
          <t>76</t>
        </is>
      </c>
      <c r="B26" s="10" t="n">
        <v>0.02</v>
      </c>
      <c r="C26" s="11" t="n">
        <v>0.508</v>
      </c>
    </row>
    <row r="27">
      <c r="A27" t="inlineStr">
        <is>
          <t>9/64</t>
        </is>
      </c>
      <c r="B27" s="10" t="n">
        <v>0.1406</v>
      </c>
      <c r="C27" s="11" t="n">
        <v>3.57124</v>
      </c>
    </row>
    <row r="28">
      <c r="A28" t="inlineStr">
        <is>
          <t>V</t>
        </is>
      </c>
      <c r="B28" s="10" t="n">
        <v>0.377</v>
      </c>
      <c r="C28" s="11" t="n">
        <v>9.575799999999999</v>
      </c>
    </row>
    <row r="29">
      <c r="A29" t="inlineStr">
        <is>
          <t>75</t>
        </is>
      </c>
      <c r="B29" s="10" t="n">
        <v>0.021</v>
      </c>
      <c r="C29" s="11" t="n">
        <v>0.5334</v>
      </c>
    </row>
    <row r="30">
      <c r="A30" t="inlineStr">
        <is>
          <t>27</t>
        </is>
      </c>
      <c r="B30" s="10" t="n">
        <v>0.144</v>
      </c>
      <c r="C30" s="11" t="n">
        <v>3.6576</v>
      </c>
    </row>
    <row r="31">
      <c r="A31" t="inlineStr">
        <is>
          <t>W</t>
        </is>
      </c>
      <c r="B31" s="10" t="n">
        <v>0.386</v>
      </c>
      <c r="C31" s="11" t="n">
        <v>9.804399999999999</v>
      </c>
    </row>
    <row r="32">
      <c r="A32" t="inlineStr">
        <is>
          <t>74</t>
        </is>
      </c>
      <c r="B32" s="10" t="n">
        <v>0.0225</v>
      </c>
      <c r="C32" s="11" t="n">
        <v>0.5714999999999999</v>
      </c>
    </row>
    <row r="33">
      <c r="B33" s="10" t="n">
        <v>0.1456692913385827</v>
      </c>
      <c r="C33" s="11" t="n">
        <v>3.7</v>
      </c>
      <c r="D33" t="inlineStr">
        <is>
          <t>M4.5 x 0.75</t>
        </is>
      </c>
    </row>
    <row r="34">
      <c r="A34" t="inlineStr">
        <is>
          <t>25/64</t>
        </is>
      </c>
      <c r="B34" s="10" t="n">
        <v>0.3906</v>
      </c>
      <c r="C34" s="11" t="n">
        <v>9.921239999999999</v>
      </c>
      <c r="D34" t="inlineStr">
        <is>
          <t>7/16-20</t>
        </is>
      </c>
    </row>
    <row r="35">
      <c r="B35" s="10" t="n">
        <v>0.02362204724409449</v>
      </c>
      <c r="C35" s="11" t="n">
        <v>0.6</v>
      </c>
    </row>
    <row r="36">
      <c r="A36" t="inlineStr">
        <is>
          <t>26</t>
        </is>
      </c>
      <c r="B36" s="10" t="n">
        <v>0.147</v>
      </c>
      <c r="C36" s="11" t="n">
        <v>3.7338</v>
      </c>
    </row>
    <row r="37">
      <c r="B37" s="10" t="n">
        <v>0.3937007874015748</v>
      </c>
      <c r="C37" s="11" t="n">
        <v>10</v>
      </c>
    </row>
    <row r="38">
      <c r="A38" t="inlineStr">
        <is>
          <t>73</t>
        </is>
      </c>
      <c r="B38" s="10" t="n">
        <v>0.024</v>
      </c>
      <c r="C38" s="11" t="n">
        <v>0.6096</v>
      </c>
    </row>
    <row r="39">
      <c r="A39" t="inlineStr">
        <is>
          <t>25</t>
        </is>
      </c>
      <c r="B39" s="10" t="n">
        <v>0.1495</v>
      </c>
      <c r="C39" s="11" t="n">
        <v>3.797299999999999</v>
      </c>
      <c r="D39" t="inlineStr">
        <is>
          <t>#10-24</t>
        </is>
      </c>
    </row>
    <row r="40">
      <c r="A40" t="inlineStr">
        <is>
          <t>X</t>
        </is>
      </c>
      <c r="B40" s="10" t="n">
        <v>0.397</v>
      </c>
      <c r="C40" s="11" t="n">
        <v>10.0838</v>
      </c>
    </row>
    <row r="41">
      <c r="A41" t="inlineStr">
        <is>
          <t>72</t>
        </is>
      </c>
      <c r="B41" s="10" t="n">
        <v>0.025</v>
      </c>
      <c r="C41" s="11" t="n">
        <v>0.635</v>
      </c>
    </row>
    <row r="42">
      <c r="A42" t="inlineStr">
        <is>
          <t>24</t>
        </is>
      </c>
      <c r="B42" s="10" t="n">
        <v>0.152</v>
      </c>
      <c r="C42" s="11" t="n">
        <v>3.8608</v>
      </c>
    </row>
    <row r="43">
      <c r="B43" s="10" t="n">
        <v>0.4015748031496063</v>
      </c>
      <c r="C43" s="11" t="n">
        <v>10.2</v>
      </c>
      <c r="D43" t="inlineStr">
        <is>
          <t>M12 x 1.75</t>
        </is>
      </c>
    </row>
    <row r="44">
      <c r="A44" t="inlineStr">
        <is>
          <t>71</t>
        </is>
      </c>
      <c r="B44" s="10" t="n">
        <v>0.026</v>
      </c>
      <c r="C44" s="11" t="n">
        <v>0.6604</v>
      </c>
    </row>
    <row r="45">
      <c r="A45" t="inlineStr">
        <is>
          <t>23</t>
        </is>
      </c>
      <c r="B45" s="10" t="n">
        <v>0.154</v>
      </c>
      <c r="C45" s="11" t="n">
        <v>3.9116</v>
      </c>
    </row>
    <row r="46">
      <c r="A46" t="inlineStr">
        <is>
          <t>Y</t>
        </is>
      </c>
      <c r="B46" s="10" t="n">
        <v>0.404</v>
      </c>
      <c r="C46" s="11" t="n">
        <v>10.2616</v>
      </c>
      <c r="D46" t="inlineStr">
        <is>
          <t>7/16-28</t>
        </is>
      </c>
    </row>
    <row r="47">
      <c r="B47" s="10" t="n">
        <v>0.02755905511811024</v>
      </c>
      <c r="C47" s="11" t="n">
        <v>0.7</v>
      </c>
    </row>
    <row r="48">
      <c r="A48" t="inlineStr">
        <is>
          <t>5/32</t>
        </is>
      </c>
      <c r="B48" s="10" t="n">
        <v>0.1562</v>
      </c>
      <c r="C48" s="11" t="n">
        <v>3.96748</v>
      </c>
    </row>
    <row r="49">
      <c r="A49" t="inlineStr">
        <is>
          <t>13/32</t>
        </is>
      </c>
      <c r="B49" s="10" t="n">
        <v>0.4062</v>
      </c>
      <c r="C49" s="11" t="n">
        <v>10.31748</v>
      </c>
      <c r="D49" t="inlineStr">
        <is>
          <t>7/16-32</t>
        </is>
      </c>
    </row>
    <row r="50">
      <c r="A50" t="inlineStr">
        <is>
          <t>70</t>
        </is>
      </c>
      <c r="B50" s="10" t="n">
        <v>0.028</v>
      </c>
      <c r="C50" s="11" t="n">
        <v>0.7111999999999999</v>
      </c>
    </row>
    <row r="51">
      <c r="A51" t="inlineStr">
        <is>
          <t>22</t>
        </is>
      </c>
      <c r="B51" s="10" t="n">
        <v>0.157</v>
      </c>
      <c r="C51" s="11" t="n">
        <v>3.9878</v>
      </c>
    </row>
    <row r="52">
      <c r="A52" t="inlineStr">
        <is>
          <t>Z</t>
        </is>
      </c>
      <c r="B52" s="10" t="n">
        <v>0.413</v>
      </c>
      <c r="C52" s="11" t="n">
        <v>10.4902</v>
      </c>
    </row>
    <row r="53">
      <c r="A53" t="inlineStr">
        <is>
          <t>69</t>
        </is>
      </c>
      <c r="B53" s="10" t="n">
        <v>0.0292</v>
      </c>
      <c r="C53" s="11" t="n">
        <v>0.74168</v>
      </c>
    </row>
    <row r="54">
      <c r="B54" s="10" t="n">
        <v>0.1574803149606299</v>
      </c>
      <c r="C54" s="11" t="n">
        <v>4</v>
      </c>
    </row>
    <row r="55">
      <c r="B55" s="10" t="n">
        <v>0.4219</v>
      </c>
      <c r="C55" s="11" t="n">
        <v>10.71626</v>
      </c>
      <c r="D55" t="inlineStr">
        <is>
          <t>1/2-13</t>
        </is>
      </c>
    </row>
    <row r="56">
      <c r="B56" s="10" t="n">
        <v>0.02952755905511811</v>
      </c>
      <c r="C56" s="11" t="n">
        <v>0.75</v>
      </c>
      <c r="D56" t="inlineStr">
        <is>
          <t>M1 X 0.25</t>
        </is>
      </c>
    </row>
    <row r="57">
      <c r="A57" t="inlineStr">
        <is>
          <t>21</t>
        </is>
      </c>
      <c r="B57" s="10" t="n">
        <v>0.159</v>
      </c>
      <c r="C57" s="11" t="n">
        <v>4.0386</v>
      </c>
      <c r="D57" t="inlineStr">
        <is>
          <t>#10-32</t>
        </is>
      </c>
    </row>
    <row r="58">
      <c r="B58" s="10" t="n">
        <v>0.4330708661417323</v>
      </c>
      <c r="C58" s="11" t="n">
        <v>11</v>
      </c>
    </row>
    <row r="59">
      <c r="A59" t="inlineStr">
        <is>
          <t>68</t>
        </is>
      </c>
      <c r="B59" s="10" t="n">
        <v>0.031</v>
      </c>
      <c r="C59" s="11" t="n">
        <v>0.7874</v>
      </c>
    </row>
    <row r="60">
      <c r="A60" t="inlineStr">
        <is>
          <t>20</t>
        </is>
      </c>
      <c r="B60" s="10" t="n">
        <v>0.161</v>
      </c>
      <c r="C60" s="11" t="n">
        <v>4.089399999999999</v>
      </c>
    </row>
    <row r="61">
      <c r="A61" t="inlineStr">
        <is>
          <t>7/16</t>
        </is>
      </c>
      <c r="B61" s="10" t="n">
        <v>0.4375</v>
      </c>
      <c r="C61" s="11" t="n">
        <v>11.1125</v>
      </c>
      <c r="D61" t="inlineStr">
        <is>
          <t>1/2-16</t>
        </is>
      </c>
    </row>
    <row r="62">
      <c r="A62" t="inlineStr">
        <is>
          <t>1/32</t>
        </is>
      </c>
      <c r="B62" s="10" t="n">
        <v>0.03125</v>
      </c>
      <c r="C62" s="11" t="n">
        <v>0.79375</v>
      </c>
    </row>
    <row r="63">
      <c r="B63" s="10" t="n">
        <v>0.1653543307086614</v>
      </c>
      <c r="C63" s="11" t="n">
        <v>4.2</v>
      </c>
      <c r="D63" t="inlineStr">
        <is>
          <t>M5 x 0.8</t>
        </is>
      </c>
    </row>
    <row r="64">
      <c r="A64" t="inlineStr">
        <is>
          <t>29/64</t>
        </is>
      </c>
      <c r="B64" s="10" t="n">
        <v>0.4531</v>
      </c>
      <c r="C64" s="11" t="n">
        <v>11.50874</v>
      </c>
      <c r="D64" t="inlineStr">
        <is>
          <t>1/2-20</t>
        </is>
      </c>
    </row>
    <row r="65">
      <c r="B65" s="10" t="n">
        <v>0.03149606299212599</v>
      </c>
      <c r="C65" s="11" t="n">
        <v>0.8</v>
      </c>
    </row>
    <row r="66">
      <c r="A66" t="inlineStr">
        <is>
          <t>19</t>
        </is>
      </c>
      <c r="B66" s="10" t="n">
        <v>0.166</v>
      </c>
      <c r="C66" s="11" t="n">
        <v>4.2164</v>
      </c>
    </row>
    <row r="67">
      <c r="A67" t="inlineStr">
        <is>
          <t>15/32</t>
        </is>
      </c>
      <c r="B67" s="10" t="n">
        <v>0.4688</v>
      </c>
      <c r="C67" s="11" t="n">
        <v>11.90752</v>
      </c>
      <c r="D67" t="inlineStr">
        <is>
          <t>1/2-28, 1/2-32</t>
        </is>
      </c>
    </row>
    <row r="68">
      <c r="A68" t="inlineStr">
        <is>
          <t>67</t>
        </is>
      </c>
      <c r="B68" s="10" t="n">
        <v>0.032</v>
      </c>
      <c r="C68" s="11" t="n">
        <v>0.8128</v>
      </c>
    </row>
    <row r="69">
      <c r="A69" t="inlineStr">
        <is>
          <t>18</t>
        </is>
      </c>
      <c r="B69" s="10" t="n">
        <v>0.1695</v>
      </c>
      <c r="C69" s="11" t="n">
        <v>4.3053</v>
      </c>
    </row>
    <row r="70">
      <c r="B70" s="10" t="n">
        <v>0.4724409448818898</v>
      </c>
      <c r="C70" s="11" t="n">
        <v>12</v>
      </c>
      <c r="D70" t="inlineStr">
        <is>
          <t>M14 x 2.0</t>
        </is>
      </c>
    </row>
    <row r="71">
      <c r="A71" t="inlineStr">
        <is>
          <t>66</t>
        </is>
      </c>
      <c r="B71" s="10" t="n">
        <v>0.033</v>
      </c>
      <c r="C71" s="11" t="n">
        <v>0.8381999999999999</v>
      </c>
    </row>
    <row r="72">
      <c r="A72" t="inlineStr">
        <is>
          <t>11/64</t>
        </is>
      </c>
      <c r="B72" s="10" t="n">
        <v>0.1719</v>
      </c>
      <c r="C72" s="11" t="n">
        <v>4.36626</v>
      </c>
    </row>
    <row r="73">
      <c r="A73" t="inlineStr">
        <is>
          <t>31/64</t>
        </is>
      </c>
      <c r="B73" s="10" t="n">
        <v>0.4844</v>
      </c>
      <c r="C73" s="11" t="n">
        <v>12.30376</v>
      </c>
      <c r="D73" t="inlineStr">
        <is>
          <t>9/16-12</t>
        </is>
      </c>
    </row>
    <row r="74">
      <c r="B74" s="10" t="n">
        <v>0.03346456692913386</v>
      </c>
      <c r="C74" s="11" t="n">
        <v>0.85</v>
      </c>
      <c r="D74" t="inlineStr">
        <is>
          <t>M1.1 X 0.25</t>
        </is>
      </c>
    </row>
    <row r="75">
      <c r="A75" t="inlineStr">
        <is>
          <t>17</t>
        </is>
      </c>
      <c r="B75" s="10" t="n">
        <v>0.173</v>
      </c>
      <c r="C75" s="11" t="n">
        <v>4.3942</v>
      </c>
    </row>
    <row r="76">
      <c r="A76" t="inlineStr">
        <is>
          <t>1/2</t>
        </is>
      </c>
      <c r="B76" s="10" t="n">
        <v>0.5</v>
      </c>
      <c r="C76" s="11" t="n">
        <v>12.7</v>
      </c>
      <c r="D76" t="inlineStr">
        <is>
          <t>9/16-16</t>
        </is>
      </c>
    </row>
    <row r="77">
      <c r="A77" t="inlineStr">
        <is>
          <t>65</t>
        </is>
      </c>
      <c r="B77" s="10" t="n">
        <v>0.035</v>
      </c>
      <c r="C77" s="11" t="n">
        <v>0.889</v>
      </c>
    </row>
    <row r="78">
      <c r="A78" t="inlineStr">
        <is>
          <t>16</t>
        </is>
      </c>
      <c r="B78" s="10" t="n">
        <v>0.177</v>
      </c>
      <c r="C78" s="11" t="n">
        <v>4.495799999999999</v>
      </c>
      <c r="D78" t="inlineStr">
        <is>
          <t>#12-24</t>
        </is>
      </c>
    </row>
    <row r="79">
      <c r="B79" s="10" t="n">
        <v>0.5118110236220472</v>
      </c>
      <c r="C79" s="11" t="n">
        <v>13</v>
      </c>
    </row>
    <row r="80">
      <c r="B80" s="10" t="n">
        <v>0.03543307086614173</v>
      </c>
      <c r="C80" s="11" t="n">
        <v>0.9</v>
      </c>
    </row>
    <row r="81">
      <c r="A81" t="inlineStr">
        <is>
          <t>15</t>
        </is>
      </c>
      <c r="B81" s="10" t="n">
        <v>0.18</v>
      </c>
      <c r="C81" s="11" t="n">
        <v>4.571999999999999</v>
      </c>
    </row>
    <row r="82">
      <c r="A82" t="inlineStr">
        <is>
          <t>33/64</t>
        </is>
      </c>
      <c r="B82" s="10" t="n">
        <v>0.5155999999999999</v>
      </c>
      <c r="C82" s="11" t="n">
        <v>13.09624</v>
      </c>
      <c r="D82" t="inlineStr">
        <is>
          <t>9/16-18, 9/16-20</t>
        </is>
      </c>
    </row>
    <row r="83">
      <c r="A83" t="inlineStr">
        <is>
          <t>64</t>
        </is>
      </c>
      <c r="B83" s="10" t="n">
        <v>0.036</v>
      </c>
      <c r="C83" s="11" t="n">
        <v>0.9143999999999999</v>
      </c>
    </row>
    <row r="84">
      <c r="A84" t="inlineStr">
        <is>
          <t>14</t>
        </is>
      </c>
      <c r="B84" s="10" t="n">
        <v>0.182</v>
      </c>
      <c r="C84" s="11" t="n">
        <v>4.6228</v>
      </c>
      <c r="D84" t="inlineStr">
        <is>
          <t>#12-28</t>
        </is>
      </c>
    </row>
    <row r="85">
      <c r="A85" t="inlineStr">
        <is>
          <t>17/32</t>
        </is>
      </c>
      <c r="B85" s="10" t="n">
        <v>0.5312</v>
      </c>
      <c r="C85" s="11" t="n">
        <v>13.49248</v>
      </c>
      <c r="D85" t="inlineStr">
        <is>
          <t>9/16-24, 9/16-28</t>
        </is>
      </c>
    </row>
    <row r="86">
      <c r="A86" t="inlineStr">
        <is>
          <t>63</t>
        </is>
      </c>
      <c r="B86" s="10" t="n">
        <v>0.037</v>
      </c>
      <c r="C86" s="11" t="n">
        <v>0.9397999999999999</v>
      </c>
    </row>
    <row r="87">
      <c r="A87" t="inlineStr">
        <is>
          <t>13</t>
        </is>
      </c>
      <c r="B87" s="10" t="n">
        <v>0.185</v>
      </c>
      <c r="C87" s="11" t="n">
        <v>4.699</v>
      </c>
      <c r="D87" t="inlineStr">
        <is>
          <t>#12-32</t>
        </is>
      </c>
    </row>
    <row r="88">
      <c r="B88" s="10" t="n">
        <v>0.03740157480314961</v>
      </c>
      <c r="C88" s="11" t="n">
        <v>0.95</v>
      </c>
      <c r="D88" t="inlineStr">
        <is>
          <t>M1.2 X 0.25</t>
        </is>
      </c>
    </row>
    <row r="89">
      <c r="A89" t="inlineStr">
        <is>
          <t>3/16</t>
        </is>
      </c>
      <c r="B89" s="10" t="n">
        <v>0.1875</v>
      </c>
      <c r="C89" s="11" t="n">
        <v>4.762499999999999</v>
      </c>
    </row>
    <row r="90">
      <c r="A90" t="inlineStr">
        <is>
          <t>35/64</t>
        </is>
      </c>
      <c r="B90" s="10" t="n">
        <v>0.5469000000000001</v>
      </c>
      <c r="C90" s="11" t="n">
        <v>13.89126</v>
      </c>
      <c r="D90" t="inlineStr">
        <is>
          <t>5/8-12</t>
        </is>
      </c>
    </row>
    <row r="91">
      <c r="A91" t="inlineStr">
        <is>
          <t>62</t>
        </is>
      </c>
      <c r="B91" s="10" t="n">
        <v>0.038</v>
      </c>
      <c r="C91" s="11" t="n">
        <v>0.9651999999999999</v>
      </c>
    </row>
    <row r="92">
      <c r="A92" t="inlineStr">
        <is>
          <t>12</t>
        </is>
      </c>
      <c r="B92" s="10" t="n">
        <v>0.189</v>
      </c>
      <c r="C92" s="11" t="n">
        <v>4.8006</v>
      </c>
    </row>
    <row r="93">
      <c r="B93" s="10" t="n">
        <v>0.5511811023622047</v>
      </c>
      <c r="C93" s="11" t="n">
        <v>14</v>
      </c>
      <c r="D93" t="inlineStr">
        <is>
          <t>M16 x 2.0</t>
        </is>
      </c>
    </row>
    <row r="94">
      <c r="A94" t="inlineStr">
        <is>
          <t>61</t>
        </is>
      </c>
      <c r="B94" s="10" t="n">
        <v>0.039</v>
      </c>
      <c r="C94" s="11" t="n">
        <v>0.9905999999999999</v>
      </c>
    </row>
    <row r="95">
      <c r="A95" t="inlineStr">
        <is>
          <t>11</t>
        </is>
      </c>
      <c r="B95" s="10" t="n">
        <v>0.191</v>
      </c>
      <c r="C95" s="11" t="n">
        <v>4.8514</v>
      </c>
    </row>
    <row r="96">
      <c r="A96" t="inlineStr">
        <is>
          <t>9/16</t>
        </is>
      </c>
      <c r="B96" s="10" t="n">
        <v>0.5625</v>
      </c>
      <c r="C96" s="11" t="n">
        <v>14.2875</v>
      </c>
      <c r="D96" t="inlineStr">
        <is>
          <t>5/8-16</t>
        </is>
      </c>
    </row>
    <row r="97">
      <c r="B97" s="10" t="n">
        <v>0.03937007874015748</v>
      </c>
      <c r="C97" s="11" t="n">
        <v>1</v>
      </c>
    </row>
    <row r="98">
      <c r="A98" t="inlineStr">
        <is>
          <t>10</t>
        </is>
      </c>
      <c r="B98" s="10" t="n">
        <v>0.1935</v>
      </c>
      <c r="C98" s="11" t="n">
        <v>4.9149</v>
      </c>
    </row>
    <row r="99">
      <c r="A99" t="inlineStr">
        <is>
          <t>37/64</t>
        </is>
      </c>
      <c r="B99" s="10" t="n">
        <v>0.5780999999999999</v>
      </c>
      <c r="C99" s="11" t="n">
        <v>14.68374</v>
      </c>
      <c r="D99" t="inlineStr">
        <is>
          <t>5/8-18, 5/8-20</t>
        </is>
      </c>
    </row>
    <row r="100">
      <c r="A100" t="inlineStr">
        <is>
          <t>60</t>
        </is>
      </c>
      <c r="B100" s="10" t="n">
        <v>0.04</v>
      </c>
      <c r="C100" s="11" t="n">
        <v>1.016</v>
      </c>
    </row>
    <row r="101">
      <c r="A101" t="inlineStr">
        <is>
          <t>9</t>
        </is>
      </c>
      <c r="B101" s="10" t="n">
        <v>0.196</v>
      </c>
      <c r="C101" s="11" t="n">
        <v>4.9784</v>
      </c>
    </row>
    <row r="102">
      <c r="B102" s="10" t="n">
        <v>0.5905511811023623</v>
      </c>
      <c r="C102" s="11" t="n">
        <v>15</v>
      </c>
    </row>
    <row r="103">
      <c r="A103" t="inlineStr">
        <is>
          <t>59</t>
        </is>
      </c>
      <c r="B103" s="10" t="n">
        <v>0.041</v>
      </c>
      <c r="C103" s="11" t="n">
        <v>1.0414</v>
      </c>
    </row>
    <row r="104">
      <c r="B104" s="10" t="n">
        <v>0.1968503937007874</v>
      </c>
      <c r="C104" s="11" t="n">
        <v>5</v>
      </c>
      <c r="D104" t="inlineStr">
        <is>
          <t>M6 x 1.0</t>
        </is>
      </c>
    </row>
    <row r="105">
      <c r="A105" t="inlineStr">
        <is>
          <t>19/32</t>
        </is>
      </c>
      <c r="B105" s="10" t="n">
        <v>0.5938</v>
      </c>
      <c r="C105" s="11" t="n">
        <v>15.08252</v>
      </c>
      <c r="D105" t="inlineStr">
        <is>
          <t>5/8-24, 5/8-28, 5/8-32</t>
        </is>
      </c>
    </row>
    <row r="106">
      <c r="A106" t="inlineStr">
        <is>
          <t>58</t>
        </is>
      </c>
      <c r="B106" s="10" t="n">
        <v>0.042</v>
      </c>
      <c r="C106" s="11" t="n">
        <v>1.0668</v>
      </c>
    </row>
    <row r="107">
      <c r="A107" t="inlineStr">
        <is>
          <t>8</t>
        </is>
      </c>
      <c r="B107" s="10" t="n">
        <v>0.199</v>
      </c>
      <c r="C107" s="11" t="n">
        <v>5.0546</v>
      </c>
    </row>
    <row r="108">
      <c r="A108" t="inlineStr">
        <is>
          <t>39/64</t>
        </is>
      </c>
      <c r="B108" s="10" t="n">
        <v>0.6094000000000001</v>
      </c>
      <c r="C108" s="11" t="n">
        <v>15.47876</v>
      </c>
      <c r="D108" t="inlineStr">
        <is>
          <t>11/16-12</t>
        </is>
      </c>
    </row>
    <row r="109">
      <c r="A109" t="inlineStr">
        <is>
          <t>57</t>
        </is>
      </c>
      <c r="B109" s="10" t="n">
        <v>0.043</v>
      </c>
      <c r="C109" s="11" t="n">
        <v>1.0922</v>
      </c>
    </row>
    <row r="110">
      <c r="A110" t="inlineStr">
        <is>
          <t>7</t>
        </is>
      </c>
      <c r="B110" s="10" t="n">
        <v>0.201</v>
      </c>
      <c r="C110" s="11" t="n">
        <v>5.1054</v>
      </c>
      <c r="D110" t="inlineStr">
        <is>
          <t>1/4-20</t>
        </is>
      </c>
    </row>
    <row r="111">
      <c r="B111" s="10" t="n">
        <v>0.610236220472441</v>
      </c>
      <c r="C111" s="11" t="n">
        <v>15.5</v>
      </c>
      <c r="D111" t="inlineStr">
        <is>
          <t>M18 x 2.5</t>
        </is>
      </c>
    </row>
    <row r="112">
      <c r="B112" s="10" t="n">
        <v>0.04330708661417323</v>
      </c>
      <c r="C112" s="11" t="n">
        <v>1.1</v>
      </c>
      <c r="D112" t="inlineStr">
        <is>
          <t>M1.4 X 0.3</t>
        </is>
      </c>
    </row>
    <row r="113">
      <c r="A113" t="inlineStr">
        <is>
          <t>13/64</t>
        </is>
      </c>
      <c r="B113" s="10" t="n">
        <v>0.2031</v>
      </c>
      <c r="C113" s="11" t="n">
        <v>5.15874</v>
      </c>
    </row>
    <row r="114">
      <c r="A114" t="inlineStr">
        <is>
          <t>5/8</t>
        </is>
      </c>
      <c r="B114" s="10" t="n">
        <v>0.625</v>
      </c>
      <c r="C114" s="11" t="n">
        <v>15.875</v>
      </c>
      <c r="D114" t="inlineStr">
        <is>
          <t>11/16-16</t>
        </is>
      </c>
    </row>
    <row r="115">
      <c r="A115" t="inlineStr">
        <is>
          <t>56</t>
        </is>
      </c>
      <c r="B115" s="10" t="n">
        <v>0.0465</v>
      </c>
      <c r="C115" s="11" t="n">
        <v>1.1811</v>
      </c>
    </row>
    <row r="116">
      <c r="A116" t="inlineStr">
        <is>
          <t>6</t>
        </is>
      </c>
      <c r="B116" s="10" t="n">
        <v>0.204</v>
      </c>
      <c r="C116" s="11" t="n">
        <v>5.1816</v>
      </c>
    </row>
    <row r="117">
      <c r="B117" s="10" t="n">
        <v>0.6299212598425197</v>
      </c>
      <c r="C117" s="11" t="n">
        <v>16</v>
      </c>
    </row>
    <row r="118">
      <c r="A118" t="inlineStr">
        <is>
          <t>3/64</t>
        </is>
      </c>
      <c r="B118" s="10" t="n">
        <v>0.0469</v>
      </c>
      <c r="C118" s="11" t="n">
        <v>1.19126</v>
      </c>
      <c r="D118" t="inlineStr">
        <is>
          <t>#0-80</t>
        </is>
      </c>
    </row>
    <row r="119">
      <c r="A119" t="inlineStr">
        <is>
          <t>5</t>
        </is>
      </c>
      <c r="B119" s="10" t="n">
        <v>0.2055</v>
      </c>
      <c r="C119" s="11" t="n">
        <v>5.2197</v>
      </c>
    </row>
    <row r="120">
      <c r="A120" t="inlineStr">
        <is>
          <t>41/64</t>
        </is>
      </c>
      <c r="B120" s="10" t="n">
        <v>0.6405999999999999</v>
      </c>
      <c r="C120" s="11" t="n">
        <v>16.27124</v>
      </c>
      <c r="D120" t="inlineStr">
        <is>
          <t>11/16-20</t>
        </is>
      </c>
    </row>
    <row r="121">
      <c r="B121" s="10" t="n">
        <v>0.04921259842519685</v>
      </c>
      <c r="C121" s="11" t="n">
        <v>1.25</v>
      </c>
      <c r="D121" t="inlineStr">
        <is>
          <t>M1.6 X 0.35</t>
        </is>
      </c>
    </row>
    <row r="122">
      <c r="A122" t="inlineStr">
        <is>
          <t>4</t>
        </is>
      </c>
      <c r="B122" s="10" t="n">
        <v>0.209</v>
      </c>
      <c r="C122" s="11" t="n">
        <v>5.308599999999999</v>
      </c>
    </row>
    <row r="123">
      <c r="A123" t="inlineStr">
        <is>
          <t>21/32</t>
        </is>
      </c>
      <c r="B123" s="10" t="n">
        <v>0.6562</v>
      </c>
      <c r="C123" s="11" t="n">
        <v>16.66748</v>
      </c>
      <c r="D123" t="inlineStr">
        <is>
          <t>11/16-24, 11/16-28</t>
        </is>
      </c>
    </row>
    <row r="124">
      <c r="A124" t="inlineStr">
        <is>
          <t>55</t>
        </is>
      </c>
      <c r="B124" s="10" t="n">
        <v>0.052</v>
      </c>
      <c r="C124" s="11" t="n">
        <v>1.3208</v>
      </c>
    </row>
    <row r="125">
      <c r="A125" t="inlineStr">
        <is>
          <t>3</t>
        </is>
      </c>
      <c r="B125" s="10" t="n">
        <v>0.213</v>
      </c>
      <c r="C125" s="11" t="n">
        <v>5.4102</v>
      </c>
    </row>
    <row r="126">
      <c r="A126" t="inlineStr">
        <is>
          <t>54</t>
        </is>
      </c>
      <c r="B126" s="10" t="n">
        <v>0.055</v>
      </c>
      <c r="C126" s="11" t="n">
        <v>1.397</v>
      </c>
    </row>
    <row r="127">
      <c r="A127" t="inlineStr">
        <is>
          <t>7/32</t>
        </is>
      </c>
      <c r="B127" s="10" t="n">
        <v>0.2188</v>
      </c>
      <c r="C127" s="11" t="n">
        <v>5.557519999999999</v>
      </c>
      <c r="D127" t="inlineStr">
        <is>
          <t>1/4-28, 1/4-32</t>
        </is>
      </c>
    </row>
    <row r="128">
      <c r="B128" s="10" t="n">
        <v>0.6692913385826772</v>
      </c>
      <c r="C128" s="11" t="n">
        <v>17</v>
      </c>
    </row>
    <row r="129">
      <c r="A129" t="inlineStr">
        <is>
          <t>53</t>
        </is>
      </c>
      <c r="B129" s="10" t="n">
        <v>0.0595</v>
      </c>
      <c r="C129" s="11" t="n">
        <v>1.5113</v>
      </c>
      <c r="D129" t="inlineStr">
        <is>
          <t>#1-64, #-72</t>
        </is>
      </c>
    </row>
    <row r="130">
      <c r="A130" t="inlineStr">
        <is>
          <t>2</t>
        </is>
      </c>
      <c r="B130" s="10" t="n">
        <v>0.221</v>
      </c>
      <c r="C130" s="11" t="n">
        <v>5.6134</v>
      </c>
    </row>
    <row r="131">
      <c r="A131" t="inlineStr">
        <is>
          <t>43/64</t>
        </is>
      </c>
      <c r="B131" s="10" t="n">
        <v>0.6719000000000001</v>
      </c>
      <c r="C131" s="11" t="n">
        <v>17.06626</v>
      </c>
      <c r="D131" t="inlineStr">
        <is>
          <t>3/4-12</t>
        </is>
      </c>
    </row>
    <row r="132">
      <c r="A132" t="inlineStr">
        <is>
          <t>1/16</t>
        </is>
      </c>
      <c r="B132" s="10" t="n">
        <v>0.0625</v>
      </c>
      <c r="C132" s="11" t="n">
        <v>1.5875</v>
      </c>
    </row>
    <row r="133">
      <c r="A133" t="inlineStr">
        <is>
          <t>1</t>
        </is>
      </c>
      <c r="B133" s="10" t="n">
        <v>0.228</v>
      </c>
      <c r="C133" s="11" t="n">
        <v>5.7912</v>
      </c>
    </row>
    <row r="134">
      <c r="A134" t="inlineStr">
        <is>
          <t>11/16</t>
        </is>
      </c>
      <c r="B134" s="10" t="n">
        <v>0.6875</v>
      </c>
      <c r="C134" s="11" t="n">
        <v>17.4625</v>
      </c>
      <c r="D134" t="inlineStr">
        <is>
          <t>3/4-16</t>
        </is>
      </c>
    </row>
    <row r="135">
      <c r="B135" s="10" t="n">
        <v>0.06299212598425198</v>
      </c>
      <c r="C135" s="11" t="n">
        <v>1.6</v>
      </c>
      <c r="D135" t="inlineStr">
        <is>
          <t>M2 X 0.4</t>
        </is>
      </c>
    </row>
    <row r="136">
      <c r="A136" t="inlineStr">
        <is>
          <t>A</t>
        </is>
      </c>
      <c r="B136" s="10" t="n">
        <v>0.234</v>
      </c>
      <c r="C136" s="11" t="n">
        <v>5.9436</v>
      </c>
    </row>
    <row r="137">
      <c r="B137" s="10" t="n">
        <v>0.6889763779527559</v>
      </c>
      <c r="C137" s="11" t="n">
        <v>17.5</v>
      </c>
      <c r="D137" t="inlineStr">
        <is>
          <t>M20 x 2.5</t>
        </is>
      </c>
    </row>
    <row r="138">
      <c r="A138" t="inlineStr">
        <is>
          <t>52</t>
        </is>
      </c>
      <c r="B138" s="10" t="n">
        <v>0.0635</v>
      </c>
      <c r="C138" s="11" t="n">
        <v>1.6129</v>
      </c>
    </row>
    <row r="139">
      <c r="A139" t="inlineStr">
        <is>
          <t>15/64</t>
        </is>
      </c>
      <c r="B139" s="10" t="n">
        <v>0.2344</v>
      </c>
      <c r="C139" s="11" t="n">
        <v>5.95376</v>
      </c>
    </row>
    <row r="140">
      <c r="A140" t="inlineStr">
        <is>
          <t>45/64</t>
        </is>
      </c>
      <c r="B140" s="10" t="n">
        <v>0.7030999999999999</v>
      </c>
      <c r="C140" s="11" t="n">
        <v>17.85874</v>
      </c>
      <c r="D140" t="inlineStr">
        <is>
          <t>3/4-20</t>
        </is>
      </c>
    </row>
    <row r="141">
      <c r="A141" t="inlineStr">
        <is>
          <t>51</t>
        </is>
      </c>
      <c r="B141" s="10" t="n">
        <v>0.067</v>
      </c>
      <c r="C141" s="11" t="n">
        <v>1.7018</v>
      </c>
    </row>
    <row r="142">
      <c r="B142" s="10" t="n">
        <v>0.2362204724409449</v>
      </c>
      <c r="C142" s="11" t="n">
        <v>6</v>
      </c>
      <c r="D142" t="inlineStr">
        <is>
          <t>M7 x 1.0</t>
        </is>
      </c>
    </row>
    <row r="143">
      <c r="B143" s="10" t="n">
        <v>0.7086614173228347</v>
      </c>
      <c r="C143" s="11" t="n">
        <v>18</v>
      </c>
    </row>
    <row r="144">
      <c r="B144" s="10" t="n">
        <v>0.06889763779527559</v>
      </c>
      <c r="C144" s="11" t="n">
        <v>1.75</v>
      </c>
      <c r="D144" t="inlineStr">
        <is>
          <t>M2.2 X 0.45</t>
        </is>
      </c>
    </row>
    <row r="145">
      <c r="A145" t="inlineStr">
        <is>
          <t>B</t>
        </is>
      </c>
      <c r="B145" s="10" t="n">
        <v>0.238</v>
      </c>
      <c r="C145" s="11" t="n">
        <v>6.045199999999999</v>
      </c>
    </row>
    <row r="146">
      <c r="A146" t="inlineStr">
        <is>
          <t>23/32</t>
        </is>
      </c>
      <c r="B146" s="10" t="n">
        <v>0.7188</v>
      </c>
      <c r="C146" s="11" t="n">
        <v>18.25752</v>
      </c>
      <c r="D146" t="inlineStr">
        <is>
          <t>3/4-28, 3/4-32</t>
        </is>
      </c>
    </row>
    <row r="147">
      <c r="A147" t="inlineStr">
        <is>
          <t>50</t>
        </is>
      </c>
      <c r="B147" s="10" t="n">
        <v>0.07000000000000001</v>
      </c>
      <c r="C147" s="11" t="n">
        <v>1.778</v>
      </c>
      <c r="D147" t="inlineStr">
        <is>
          <t>#2-56, #2-64</t>
        </is>
      </c>
    </row>
    <row r="148">
      <c r="A148" t="inlineStr">
        <is>
          <t>C</t>
        </is>
      </c>
      <c r="B148" s="10" t="n">
        <v>0.242</v>
      </c>
      <c r="C148" s="11" t="n">
        <v>6.1468</v>
      </c>
    </row>
    <row r="149">
      <c r="A149" t="inlineStr">
        <is>
          <t>47/64</t>
        </is>
      </c>
      <c r="B149" s="10" t="n">
        <v>0.7344000000000001</v>
      </c>
      <c r="C149" s="11" t="n">
        <v>18.65376</v>
      </c>
      <c r="D149" t="inlineStr">
        <is>
          <t>13/16-12</t>
        </is>
      </c>
    </row>
    <row r="150">
      <c r="A150" t="inlineStr">
        <is>
          <t>49</t>
        </is>
      </c>
      <c r="B150" s="10" t="n">
        <v>0.073</v>
      </c>
      <c r="C150" s="11" t="n">
        <v>1.8542</v>
      </c>
    </row>
    <row r="151">
      <c r="A151" t="inlineStr">
        <is>
          <t>D</t>
        </is>
      </c>
      <c r="B151" s="10" t="n">
        <v>0.246</v>
      </c>
      <c r="C151" s="11" t="n">
        <v>6.248399999999999</v>
      </c>
    </row>
    <row r="152">
      <c r="B152" s="10" t="n">
        <v>0.7480314960629921</v>
      </c>
      <c r="C152" s="11" t="n">
        <v>19</v>
      </c>
    </row>
    <row r="153">
      <c r="A153" t="inlineStr">
        <is>
          <t>48</t>
        </is>
      </c>
      <c r="B153" s="10" t="n">
        <v>0.076</v>
      </c>
      <c r="C153" s="11" t="n">
        <v>1.9304</v>
      </c>
    </row>
    <row r="154">
      <c r="A154" t="inlineStr">
        <is>
          <t>1/4&amp;E</t>
        </is>
      </c>
      <c r="B154" s="10" t="n">
        <v>0.25</v>
      </c>
      <c r="C154" s="11" t="n">
        <v>6.35</v>
      </c>
    </row>
    <row r="155">
      <c r="A155" t="inlineStr">
        <is>
          <t>3/4</t>
        </is>
      </c>
      <c r="B155" s="10" t="n">
        <v>0.75</v>
      </c>
      <c r="C155" s="11" t="n">
        <v>19.05</v>
      </c>
      <c r="D155" t="inlineStr">
        <is>
          <t>13/16-16</t>
        </is>
      </c>
    </row>
    <row r="156">
      <c r="A156" t="inlineStr">
        <is>
          <t>5/64</t>
        </is>
      </c>
      <c r="B156" s="10" t="n">
        <v>0.0781</v>
      </c>
      <c r="C156" s="11" t="n">
        <v>1.98374</v>
      </c>
    </row>
    <row r="157">
      <c r="A157" t="inlineStr">
        <is>
          <t>F</t>
        </is>
      </c>
      <c r="B157" s="10" t="n">
        <v>0.257</v>
      </c>
      <c r="C157" s="11" t="n">
        <v>6.5278</v>
      </c>
      <c r="D157" t="inlineStr">
        <is>
          <t>5/16-18</t>
        </is>
      </c>
    </row>
    <row r="158">
      <c r="A158" t="inlineStr">
        <is>
          <t>49/64</t>
        </is>
      </c>
      <c r="B158" s="10" t="n">
        <v>0.7655999999999999</v>
      </c>
      <c r="C158" s="11" t="n">
        <v>19.44624</v>
      </c>
      <c r="D158" t="inlineStr">
        <is>
          <t>13/16-20, 7/8-9</t>
        </is>
      </c>
    </row>
    <row r="159">
      <c r="A159" t="inlineStr">
        <is>
          <t>47</t>
        </is>
      </c>
      <c r="B159" s="10" t="n">
        <v>0.0785</v>
      </c>
      <c r="C159" s="11" t="n">
        <v>1.9939</v>
      </c>
      <c r="D159" t="inlineStr">
        <is>
          <t>#3-48</t>
        </is>
      </c>
    </row>
    <row r="160">
      <c r="A160" t="inlineStr">
        <is>
          <t>G</t>
        </is>
      </c>
      <c r="B160" s="10" t="n">
        <v>0.261</v>
      </c>
      <c r="C160" s="11" t="n">
        <v>6.6294</v>
      </c>
    </row>
    <row r="161">
      <c r="B161" s="10" t="n">
        <v>0.7677165354330709</v>
      </c>
      <c r="C161" s="11" t="n">
        <v>19.5</v>
      </c>
      <c r="D161" t="inlineStr">
        <is>
          <t>M22 x 2.5</t>
        </is>
      </c>
    </row>
    <row r="162">
      <c r="B162" s="10" t="n">
        <v>0.07874015748031496</v>
      </c>
      <c r="C162" s="11" t="n">
        <v>2</v>
      </c>
    </row>
    <row r="163">
      <c r="A163" t="inlineStr">
        <is>
          <t>17/64</t>
        </is>
      </c>
      <c r="B163" s="10" t="n">
        <v>0.2656</v>
      </c>
      <c r="C163" s="11" t="n">
        <v>6.746239999999999</v>
      </c>
      <c r="D163" t="inlineStr">
        <is>
          <t>5/16-20</t>
        </is>
      </c>
    </row>
    <row r="164">
      <c r="A164" t="inlineStr">
        <is>
          <t>25/32</t>
        </is>
      </c>
      <c r="B164" s="10" t="n">
        <v>0.7812</v>
      </c>
      <c r="C164" s="11" t="n">
        <v>19.84248</v>
      </c>
      <c r="D164" t="inlineStr">
        <is>
          <t>13/16-32</t>
        </is>
      </c>
    </row>
    <row r="165">
      <c r="B165" s="10" t="n">
        <v>0.08069999999999999</v>
      </c>
      <c r="C165" s="11" t="n">
        <v>2.05</v>
      </c>
      <c r="D165" t="inlineStr">
        <is>
          <t>M2 X 0.045</t>
        </is>
      </c>
    </row>
    <row r="166">
      <c r="A166" t="inlineStr">
        <is>
          <t>H</t>
        </is>
      </c>
      <c r="B166" s="10" t="n">
        <v>0.266</v>
      </c>
      <c r="C166" s="11" t="n">
        <v>6.7564</v>
      </c>
    </row>
    <row r="167">
      <c r="B167" s="10" t="n">
        <v>0.7874015748031497</v>
      </c>
      <c r="C167" s="11" t="n">
        <v>20</v>
      </c>
    </row>
    <row r="168">
      <c r="A168" t="inlineStr">
        <is>
          <t>46</t>
        </is>
      </c>
      <c r="B168" s="10" t="n">
        <v>0.081</v>
      </c>
      <c r="C168" s="11" t="n">
        <v>2.0574</v>
      </c>
    </row>
    <row r="169">
      <c r="B169" s="10" t="n">
        <v>0.2677007874015748</v>
      </c>
      <c r="C169" s="11" t="n">
        <v>6.7996</v>
      </c>
      <c r="D169" t="inlineStr">
        <is>
          <t>M8 x 1.25</t>
        </is>
      </c>
    </row>
    <row r="170">
      <c r="A170" t="inlineStr">
        <is>
          <t>51/64</t>
        </is>
      </c>
      <c r="B170" s="10" t="n">
        <v>0.7969000000000001</v>
      </c>
      <c r="C170" s="11" t="n">
        <v>20.24126</v>
      </c>
      <c r="D170" t="inlineStr">
        <is>
          <t>7/8-12</t>
        </is>
      </c>
    </row>
    <row r="171">
      <c r="A171" t="inlineStr">
        <is>
          <t>45</t>
        </is>
      </c>
      <c r="B171" s="10" t="n">
        <v>0.082</v>
      </c>
      <c r="C171" s="11" t="n">
        <v>2.0828</v>
      </c>
      <c r="D171" t="inlineStr">
        <is>
          <t>#3-56</t>
        </is>
      </c>
    </row>
    <row r="172">
      <c r="A172" t="inlineStr">
        <is>
          <t>I</t>
        </is>
      </c>
      <c r="B172" s="10" t="n">
        <v>0.272</v>
      </c>
      <c r="C172" s="11" t="n">
        <v>6.9088</v>
      </c>
      <c r="D172" t="inlineStr">
        <is>
          <t>5/16-24</t>
        </is>
      </c>
    </row>
    <row r="173">
      <c r="A173" t="inlineStr">
        <is>
          <t>13/16</t>
        </is>
      </c>
      <c r="B173" s="10" t="n">
        <v>0.8125</v>
      </c>
      <c r="C173" s="11" t="n">
        <v>20.6375</v>
      </c>
      <c r="D173" t="inlineStr">
        <is>
          <t>7/8-14, 7/8-16</t>
        </is>
      </c>
    </row>
    <row r="174">
      <c r="A174" t="inlineStr">
        <is>
          <t>44</t>
        </is>
      </c>
      <c r="B174" s="10" t="n">
        <v>0.08599999999999999</v>
      </c>
      <c r="C174" s="11" t="n">
        <v>2.1844</v>
      </c>
    </row>
    <row r="175">
      <c r="B175" s="10" t="n">
        <v>0.2755905511811024</v>
      </c>
      <c r="C175" s="11" t="n">
        <v>7</v>
      </c>
    </row>
    <row r="176">
      <c r="B176" s="10" t="n">
        <v>0.8267716535433072</v>
      </c>
      <c r="C176" s="11" t="n">
        <v>21</v>
      </c>
      <c r="D176" t="inlineStr">
        <is>
          <t>M24 x 3.0</t>
        </is>
      </c>
    </row>
    <row r="177">
      <c r="A177" t="inlineStr">
        <is>
          <t>43</t>
        </is>
      </c>
      <c r="B177" s="10" t="n">
        <v>0.089</v>
      </c>
      <c r="C177" s="11" t="n">
        <v>2.2606</v>
      </c>
      <c r="D177" t="inlineStr">
        <is>
          <t>#4-40</t>
        </is>
      </c>
    </row>
    <row r="178">
      <c r="A178" t="inlineStr">
        <is>
          <t>J</t>
        </is>
      </c>
      <c r="B178" s="10" t="n">
        <v>0.277</v>
      </c>
      <c r="C178" s="11" t="n">
        <v>7.0358</v>
      </c>
      <c r="D178" t="inlineStr">
        <is>
          <t>5/16-28</t>
        </is>
      </c>
    </row>
    <row r="179">
      <c r="A179" t="inlineStr">
        <is>
          <t>53/64</t>
        </is>
      </c>
      <c r="B179" s="10" t="n">
        <v>0.8280999999999999</v>
      </c>
      <c r="C179" s="11" t="n">
        <v>21.03374</v>
      </c>
      <c r="D179" t="inlineStr">
        <is>
          <t>7/8-20</t>
        </is>
      </c>
    </row>
    <row r="180">
      <c r="A180" t="inlineStr">
        <is>
          <t>42</t>
        </is>
      </c>
      <c r="B180" s="10" t="n">
        <v>0.0935</v>
      </c>
      <c r="C180" s="11" t="n">
        <v>2.3749</v>
      </c>
      <c r="D180" t="inlineStr">
        <is>
          <t>#4-48</t>
        </is>
      </c>
    </row>
    <row r="181">
      <c r="A181" t="inlineStr">
        <is>
          <t>K</t>
        </is>
      </c>
      <c r="B181" s="10" t="n">
        <v>0.281</v>
      </c>
      <c r="C181" s="11" t="n">
        <v>7.1374</v>
      </c>
    </row>
    <row r="182">
      <c r="A182" t="inlineStr">
        <is>
          <t>27/32</t>
        </is>
      </c>
      <c r="B182" s="10" t="n">
        <v>0.8438</v>
      </c>
      <c r="C182" s="11" t="n">
        <v>21.43252</v>
      </c>
      <c r="D182" t="inlineStr">
        <is>
          <t>7/8-28, 7/8-32</t>
        </is>
      </c>
    </row>
    <row r="183">
      <c r="A183" t="inlineStr">
        <is>
          <t>3/32</t>
        </is>
      </c>
      <c r="B183" s="10" t="n">
        <v>0.09379999999999999</v>
      </c>
      <c r="C183" s="11" t="n">
        <v>2.38252</v>
      </c>
    </row>
    <row r="184">
      <c r="A184" t="inlineStr">
        <is>
          <t>9/32</t>
        </is>
      </c>
      <c r="B184" s="10" t="n">
        <v>0.2812</v>
      </c>
      <c r="C184" s="11" t="n">
        <v>7.14248</v>
      </c>
    </row>
    <row r="185">
      <c r="A185" t="inlineStr">
        <is>
          <t>55/64</t>
        </is>
      </c>
      <c r="B185" s="10" t="n">
        <v>0.8594000000000001</v>
      </c>
      <c r="C185" s="11" t="n">
        <v>21.82876</v>
      </c>
      <c r="D185" t="inlineStr">
        <is>
          <t>15/16-12</t>
        </is>
      </c>
    </row>
    <row r="186">
      <c r="A186" t="inlineStr">
        <is>
          <t>41</t>
        </is>
      </c>
      <c r="B186" s="10" t="n">
        <v>0.096</v>
      </c>
      <c r="C186" s="11" t="n">
        <v>2.4384</v>
      </c>
    </row>
    <row r="187">
      <c r="A187" t="inlineStr">
        <is>
          <t>L</t>
        </is>
      </c>
      <c r="B187" s="10" t="n">
        <v>0.29</v>
      </c>
      <c r="C187" s="11" t="n">
        <v>7.365999999999999</v>
      </c>
    </row>
    <row r="188">
      <c r="B188" s="10" t="n">
        <v>0.8661417322834646</v>
      </c>
      <c r="C188" s="11" t="n">
        <v>22</v>
      </c>
    </row>
    <row r="189">
      <c r="A189" t="inlineStr">
        <is>
          <t>40</t>
        </is>
      </c>
      <c r="B189" s="10" t="n">
        <v>0.098</v>
      </c>
      <c r="C189" s="11" t="n">
        <v>2.4892</v>
      </c>
    </row>
    <row r="190">
      <c r="A190" t="inlineStr">
        <is>
          <t>M</t>
        </is>
      </c>
      <c r="B190" s="10" t="n">
        <v>0.295</v>
      </c>
      <c r="C190" s="11" t="n">
        <v>7.492999999999999</v>
      </c>
    </row>
    <row r="191">
      <c r="A191" t="inlineStr">
        <is>
          <t>7/8</t>
        </is>
      </c>
      <c r="B191" s="10" t="n">
        <v>0.875</v>
      </c>
      <c r="C191" s="11" t="n">
        <v>22.225</v>
      </c>
      <c r="D191" t="inlineStr">
        <is>
          <t>15/16-16, 1.0-8</t>
        </is>
      </c>
    </row>
    <row r="192">
      <c r="B192" s="10" t="n">
        <v>0.09842519685039371</v>
      </c>
      <c r="C192" s="11" t="n">
        <v>2.5</v>
      </c>
      <c r="D192" t="inlineStr">
        <is>
          <t>M3 X 1.5</t>
        </is>
      </c>
    </row>
    <row r="193">
      <c r="A193" t="inlineStr">
        <is>
          <t>19/64</t>
        </is>
      </c>
      <c r="B193" s="10" t="n">
        <v>0.2969</v>
      </c>
      <c r="C193" s="11" t="n">
        <v>7.541259999999999</v>
      </c>
    </row>
    <row r="194">
      <c r="A194" t="inlineStr">
        <is>
          <t>57/64</t>
        </is>
      </c>
      <c r="B194" s="10" t="n">
        <v>0.8905999999999999</v>
      </c>
      <c r="C194" s="11" t="n">
        <v>22.62124</v>
      </c>
      <c r="D194" t="inlineStr">
        <is>
          <t>15/16-20</t>
        </is>
      </c>
    </row>
    <row r="195">
      <c r="A195" t="inlineStr">
        <is>
          <t>39</t>
        </is>
      </c>
      <c r="B195" s="10" t="n">
        <v>0.09950000000000001</v>
      </c>
      <c r="C195" s="11" t="n">
        <v>2.5273</v>
      </c>
    </row>
    <row r="196">
      <c r="A196" t="inlineStr">
        <is>
          <t>N</t>
        </is>
      </c>
      <c r="B196" s="10" t="n">
        <v>0.302</v>
      </c>
      <c r="C196" s="11" t="n">
        <v>7.670799999999999</v>
      </c>
    </row>
    <row r="197">
      <c r="B197" s="10" t="n">
        <v>0.9055118110236221</v>
      </c>
      <c r="C197" s="11" t="n">
        <v>23</v>
      </c>
    </row>
    <row r="198">
      <c r="A198" t="inlineStr">
        <is>
          <t>38</t>
        </is>
      </c>
      <c r="B198" s="10" t="n">
        <v>0.1015</v>
      </c>
      <c r="C198" s="11" t="n">
        <v>2.5781</v>
      </c>
      <c r="D198" t="inlineStr">
        <is>
          <t>#5-40</t>
        </is>
      </c>
    </row>
    <row r="199">
      <c r="B199" s="10" t="n">
        <v>0.3070866141732284</v>
      </c>
      <c r="C199" s="11" t="n">
        <v>7.8</v>
      </c>
      <c r="D199" t="inlineStr">
        <is>
          <t>M9 x 1.25</t>
        </is>
      </c>
    </row>
    <row r="200">
      <c r="A200" t="inlineStr">
        <is>
          <t>29/32</t>
        </is>
      </c>
      <c r="B200" s="10" t="n">
        <v>0.9062</v>
      </c>
      <c r="C200" s="11" t="n">
        <v>23.01748</v>
      </c>
      <c r="D200" t="inlineStr">
        <is>
          <t>15/16-28, 15/16-32</t>
        </is>
      </c>
    </row>
    <row r="201">
      <c r="A201" t="inlineStr">
        <is>
          <t>37</t>
        </is>
      </c>
      <c r="B201" s="10" t="n">
        <v>0.104</v>
      </c>
      <c r="C201" s="11" t="n">
        <v>2.6416</v>
      </c>
      <c r="D201" t="inlineStr">
        <is>
          <t>#5-44</t>
        </is>
      </c>
    </row>
    <row r="202">
      <c r="A202" t="inlineStr">
        <is>
          <t>5/16</t>
        </is>
      </c>
      <c r="B202" s="10" t="n">
        <v>0.3125</v>
      </c>
      <c r="C202" s="11" t="n">
        <v>7.9375</v>
      </c>
      <c r="D202" t="inlineStr">
        <is>
          <t>3/8-16</t>
        </is>
      </c>
    </row>
    <row r="203">
      <c r="A203" t="inlineStr">
        <is>
          <t>59/64</t>
        </is>
      </c>
      <c r="B203" s="10" t="n">
        <v>0.9219000000000001</v>
      </c>
      <c r="C203" s="11" t="n">
        <v>23.41626</v>
      </c>
      <c r="D203" t="inlineStr">
        <is>
          <t>1.0-12</t>
        </is>
      </c>
    </row>
    <row r="204">
      <c r="A204" t="inlineStr">
        <is>
          <t>36</t>
        </is>
      </c>
      <c r="B204" s="10" t="n">
        <v>0.1065</v>
      </c>
      <c r="C204" s="11" t="n">
        <v>2.7051</v>
      </c>
      <c r="D204" t="inlineStr">
        <is>
          <t>#6-32</t>
        </is>
      </c>
    </row>
    <row r="205">
      <c r="B205" s="10" t="n">
        <v>0.3149606299212598</v>
      </c>
      <c r="C205" s="11" t="n">
        <v>8</v>
      </c>
    </row>
    <row r="206">
      <c r="A206" t="inlineStr">
        <is>
          <t>15/16</t>
        </is>
      </c>
      <c r="B206" s="10" t="n">
        <v>0.9375</v>
      </c>
      <c r="C206" s="11" t="n">
        <v>23.8125</v>
      </c>
      <c r="D206" t="inlineStr">
        <is>
          <t>1.0-16, 1-1/16-8</t>
        </is>
      </c>
    </row>
    <row r="207">
      <c r="A207" t="inlineStr">
        <is>
          <t>7/64</t>
        </is>
      </c>
      <c r="B207" s="10" t="n">
        <v>0.1094</v>
      </c>
      <c r="C207" s="11" t="n">
        <v>2.77876</v>
      </c>
    </row>
    <row r="208">
      <c r="A208" t="inlineStr">
        <is>
          <t>O</t>
        </is>
      </c>
      <c r="B208" s="10" t="n">
        <v>0.316</v>
      </c>
      <c r="C208" s="11" t="n">
        <v>8.026399999999999</v>
      </c>
    </row>
    <row r="209">
      <c r="B209" s="10" t="n">
        <v>0.9448818897637796</v>
      </c>
      <c r="C209" s="11" t="n">
        <v>24</v>
      </c>
      <c r="D209" t="inlineStr">
        <is>
          <t>M27 x 3.0</t>
        </is>
      </c>
    </row>
    <row r="210">
      <c r="A210" t="inlineStr">
        <is>
          <t>35</t>
        </is>
      </c>
      <c r="B210" s="10" t="n">
        <v>0.11</v>
      </c>
      <c r="C210" s="11" t="n">
        <v>2.794</v>
      </c>
    </row>
    <row r="211">
      <c r="A211" t="inlineStr">
        <is>
          <t>P</t>
        </is>
      </c>
      <c r="B211" s="10" t="n">
        <v>0.323</v>
      </c>
      <c r="C211" s="11" t="n">
        <v>8.2042</v>
      </c>
    </row>
    <row r="212">
      <c r="A212" t="inlineStr">
        <is>
          <t>61/64</t>
        </is>
      </c>
      <c r="B212" s="10" t="n">
        <v>0.9530999999999999</v>
      </c>
      <c r="C212" s="11" t="n">
        <v>24.20874</v>
      </c>
      <c r="D212" t="inlineStr">
        <is>
          <t>1.0-20</t>
        </is>
      </c>
    </row>
    <row r="213">
      <c r="A213" t="inlineStr">
        <is>
          <t>34</t>
        </is>
      </c>
      <c r="B213" s="10" t="n">
        <v>0.111</v>
      </c>
      <c r="C213" s="11" t="n">
        <v>2.8194</v>
      </c>
    </row>
    <row r="214">
      <c r="A214" t="inlineStr">
        <is>
          <t>21/64</t>
        </is>
      </c>
      <c r="B214" s="10" t="n">
        <v>0.3281</v>
      </c>
      <c r="C214" s="11" t="n">
        <v>8.333739999999999</v>
      </c>
      <c r="D214" t="inlineStr">
        <is>
          <t>3/8-20</t>
        </is>
      </c>
    </row>
    <row r="215">
      <c r="A215" t="inlineStr">
        <is>
          <t>31/32</t>
        </is>
      </c>
      <c r="B215" s="10" t="n">
        <v>0.9688</v>
      </c>
      <c r="C215" s="11" t="n">
        <v>24.60752</v>
      </c>
      <c r="D215" t="inlineStr">
        <is>
          <t>1.0-28, 1.0-32</t>
        </is>
      </c>
    </row>
    <row r="216">
      <c r="A216" t="inlineStr">
        <is>
          <t>33</t>
        </is>
      </c>
      <c r="B216" s="10" t="n">
        <v>0.113</v>
      </c>
      <c r="C216" s="11" t="n">
        <v>2.8702</v>
      </c>
      <c r="D216" t="inlineStr">
        <is>
          <t>#6-40</t>
        </is>
      </c>
    </row>
    <row r="217">
      <c r="A217" t="inlineStr">
        <is>
          <t>Q</t>
        </is>
      </c>
      <c r="B217" s="10" t="n">
        <v>0.332</v>
      </c>
      <c r="C217" s="11" t="n">
        <v>8.4328</v>
      </c>
    </row>
    <row r="218">
      <c r="B218" s="10" t="n">
        <v>0.984251968503937</v>
      </c>
      <c r="C218" s="11" t="n">
        <v>25</v>
      </c>
    </row>
    <row r="219">
      <c r="B219" s="10" t="n">
        <v>0.1141732283464567</v>
      </c>
      <c r="C219" s="11" t="n">
        <v>2.9</v>
      </c>
      <c r="D219" t="inlineStr">
        <is>
          <t>M3.5 x 0.6</t>
        </is>
      </c>
    </row>
    <row r="220">
      <c r="B220" s="10" t="n">
        <v>0.3346456692913386</v>
      </c>
      <c r="C220" s="11" t="n">
        <v>8.5</v>
      </c>
      <c r="D220" t="inlineStr">
        <is>
          <t>M10 x 1.5</t>
        </is>
      </c>
    </row>
    <row r="221">
      <c r="A221" t="inlineStr">
        <is>
          <t>63/64</t>
        </is>
      </c>
      <c r="B221" s="10" t="n">
        <v>0.9844000000000001</v>
      </c>
      <c r="C221" s="11" t="n">
        <v>25.00376</v>
      </c>
      <c r="D221" t="inlineStr">
        <is>
          <t>1-1/16-12, 1-1/8-7</t>
        </is>
      </c>
    </row>
    <row r="222">
      <c r="A222" t="inlineStr">
        <is>
          <t>32</t>
        </is>
      </c>
      <c r="B222" s="10" t="n">
        <v>0.116</v>
      </c>
      <c r="C222" s="11" t="n">
        <v>2.9464</v>
      </c>
    </row>
    <row r="223">
      <c r="A223" t="inlineStr">
        <is>
          <t>R</t>
        </is>
      </c>
      <c r="B223" s="10" t="n">
        <v>0.339</v>
      </c>
      <c r="C223" s="11" t="n">
        <v>8.6106</v>
      </c>
      <c r="D223" t="inlineStr">
        <is>
          <t>3/8-24</t>
        </is>
      </c>
    </row>
    <row r="224">
      <c r="A224" t="inlineStr">
        <is>
          <t>1</t>
        </is>
      </c>
      <c r="B224" s="10" t="n">
        <v>1</v>
      </c>
      <c r="C224" s="11" t="n">
        <v>25.4</v>
      </c>
      <c r="D224" t="inlineStr">
        <is>
          <t>1-1/16-16, 1-1/8-8</t>
        </is>
      </c>
    </row>
    <row r="226">
      <c r="A226" s="5" t="inlineStr">
        <is>
          <t>CENTER DRILLS — TYPE A (60°), ASA B5.20</t>
        </is>
      </c>
    </row>
    <row r="227">
      <c r="A227" s="3" t="inlineStr">
        <is>
          <t>Size</t>
        </is>
      </c>
      <c r="B227" s="3" t="inlineStr">
        <is>
          <t>Drill dia (in)</t>
        </is>
      </c>
      <c r="C227" s="3" t="inlineStr">
        <is>
          <t>Body dia (in)</t>
        </is>
      </c>
      <c r="D227" s="3" t="inlineStr">
        <is>
          <t>Point length (in)</t>
        </is>
      </c>
    </row>
    <row r="228">
      <c r="A228" t="inlineStr">
        <is>
          <t>#1</t>
        </is>
      </c>
      <c r="B228" s="10" t="n">
        <v>0.0469</v>
      </c>
      <c r="C228" s="10" t="n">
        <v>0.125</v>
      </c>
      <c r="D228" s="11" t="n">
        <v>0.068</v>
      </c>
    </row>
    <row r="229">
      <c r="A229" t="inlineStr">
        <is>
          <t>#2</t>
        </is>
      </c>
      <c r="B229" s="10" t="n">
        <v>0.0781</v>
      </c>
      <c r="C229" s="10" t="n">
        <v>0.1875</v>
      </c>
      <c r="D229" s="11" t="n">
        <v>0.095</v>
      </c>
    </row>
    <row r="230">
      <c r="A230" t="inlineStr">
        <is>
          <t>#3</t>
        </is>
      </c>
      <c r="B230" s="10" t="n">
        <v>0.1094</v>
      </c>
      <c r="C230" s="10" t="n">
        <v>0.25</v>
      </c>
      <c r="D230" s="11" t="n">
        <v>0.122</v>
      </c>
    </row>
    <row r="231">
      <c r="A231" t="inlineStr">
        <is>
          <t>#4</t>
        </is>
      </c>
      <c r="B231" s="10" t="n">
        <v>0.125</v>
      </c>
      <c r="C231" s="10" t="n">
        <v>0.3125</v>
      </c>
      <c r="D231" s="11" t="n">
        <v>0.162</v>
      </c>
    </row>
    <row r="232">
      <c r="A232" t="inlineStr">
        <is>
          <t>#5</t>
        </is>
      </c>
      <c r="B232" s="10" t="n">
        <v>0.1875</v>
      </c>
      <c r="C232" s="10" t="n">
        <v>0.4375</v>
      </c>
      <c r="D232" s="11" t="n">
        <v>0.217</v>
      </c>
    </row>
    <row r="233">
      <c r="A233" t="inlineStr">
        <is>
          <t>#6</t>
        </is>
      </c>
      <c r="B233" s="10" t="n">
        <v>0.25</v>
      </c>
      <c r="C233" s="10" t="n">
        <v>0.5</v>
      </c>
      <c r="D233" s="11" t="n">
        <v>0.217</v>
      </c>
    </row>
    <row r="234">
      <c r="A234" s="2" t="inlineStr">
        <is>
          <t>Standard combined drill &amp; countersink sizes, plain Type A. Point length is the 60° cone from drill dia to body dia — drill that deep to seat the full cone. Bell type (Type B, 100° guard) uses the same drill and body sizes. Overall length varies by maker.</t>
        </is>
      </c>
    </row>
    <row r="235">
      <c r="A235" s="2" t="inlineStr">
        <is>
          <t>Spot drills: common sizes run 1/8–1 in in 90°, 118° and 120° points. Spot with an angle equal to or wider than the drill’s point, to at least the chamfer diameter you want.</t>
        </is>
      </c>
    </row>
  </sheetData>
  <pageMargins left="0.75" right="0.75" top="1" bottom="1" header="0.5" footer="0.5"/>
  <headerFooter>
    <oddHeader>&amp;C&amp;9 H38 Quick Calc — Highway 38 Solutions</oddHeader>
    <oddFooter/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26" customWidth="1" min="5" max="5"/>
    <col width="14" customWidth="1" min="8" max="8"/>
    <col width="14" customWidth="1" min="9" max="9"/>
  </cols>
  <sheetData>
    <row r="1">
      <c r="A1" s="1" t="inlineStr">
        <is>
          <t>WEIGHTS &amp; YIELDS</t>
        </is>
      </c>
    </row>
    <row r="2">
      <c r="A2" s="2" t="inlineStr">
        <is>
          <t>H38 Quick Calc · Highway 38 Solutions — stock weights and job yields with visible shop allowances.</t>
        </is>
      </c>
    </row>
    <row r="4">
      <c r="A4" s="5" t="inlineStr">
        <is>
          <t>SHOP SETTINGS — editable (the app’s My Shop defaults)</t>
        </is>
      </c>
      <c r="H4" s="3" t="inlineStr">
        <is>
          <t>Material</t>
        </is>
      </c>
      <c r="I4" s="3" t="inlineStr">
        <is>
          <t>Density</t>
        </is>
      </c>
    </row>
    <row r="5">
      <c r="A5" t="inlineStr">
        <is>
          <t>End allowance (in)</t>
        </is>
      </c>
      <c r="B5" s="17" t="n">
        <v>4</v>
      </c>
      <c r="H5" t="inlineStr">
        <is>
          <t>Steel</t>
        </is>
      </c>
      <c r="I5" s="10" t="n">
        <v>0.284</v>
      </c>
    </row>
    <row r="6">
      <c r="A6" t="inlineStr">
        <is>
          <t>Per-part allowance (in)</t>
        </is>
      </c>
      <c r="B6" s="7" t="n">
        <v>0.25</v>
      </c>
      <c r="H6" t="inlineStr">
        <is>
          <t>Stainless</t>
        </is>
      </c>
      <c r="I6" s="10" t="n">
        <v>0.29</v>
      </c>
    </row>
    <row r="7">
      <c r="A7" t="inlineStr">
        <is>
          <t>Scrap factor</t>
        </is>
      </c>
      <c r="B7" s="17" t="n">
        <v>1.05</v>
      </c>
      <c r="H7" t="inlineStr">
        <is>
          <t>Aluminum</t>
        </is>
      </c>
      <c r="I7" s="10" t="n">
        <v>0.1</v>
      </c>
    </row>
    <row r="8">
      <c r="A8" t="inlineStr">
        <is>
          <t>Sheet length for blanking (in)</t>
        </is>
      </c>
      <c r="B8" s="16" t="n">
        <v>120</v>
      </c>
    </row>
    <row r="9">
      <c r="H9" s="3" t="inlineStr">
        <is>
          <t>Material</t>
        </is>
      </c>
      <c r="I9" s="3" t="inlineStr">
        <is>
          <t>Round factor</t>
        </is>
      </c>
    </row>
    <row r="10">
      <c r="A10" s="5" t="inlineStr">
        <is>
          <t>1 — SHEET / PLATE</t>
        </is>
      </c>
      <c r="H10" t="inlineStr">
        <is>
          <t>Steel</t>
        </is>
      </c>
      <c r="I10" s="10" t="n">
        <v>2.67</v>
      </c>
    </row>
    <row r="11">
      <c r="A11" t="inlineStr">
        <is>
          <t>Length (in)</t>
        </is>
      </c>
      <c r="B11" s="17" t="n">
        <v>48</v>
      </c>
      <c r="H11" t="inlineStr">
        <is>
          <t>Stainless</t>
        </is>
      </c>
      <c r="I11" s="10" t="n">
        <v>2.67</v>
      </c>
    </row>
    <row r="12">
      <c r="A12" t="inlineStr">
        <is>
          <t>Width (in)</t>
        </is>
      </c>
      <c r="B12" s="17" t="n">
        <v>36</v>
      </c>
      <c r="H12" t="inlineStr">
        <is>
          <t>Aluminum</t>
        </is>
      </c>
      <c r="I12" s="10" t="n">
        <v>0.9613</v>
      </c>
    </row>
    <row r="13">
      <c r="A13" t="inlineStr">
        <is>
          <t>Thickness (in)</t>
        </is>
      </c>
      <c r="B13" s="7" t="n">
        <v>0.25</v>
      </c>
    </row>
    <row r="14">
      <c r="A14" t="inlineStr">
        <is>
          <t>Material (Steel / Stainless / Aluminum)</t>
        </is>
      </c>
      <c r="B14" s="24" t="inlineStr">
        <is>
          <t>Steel</t>
        </is>
      </c>
    </row>
    <row r="15">
      <c r="A15" t="inlineStr">
        <is>
          <t>Density (lb/in³)</t>
        </is>
      </c>
      <c r="B15" s="10">
        <f>INDEX($I$5:$I$7,MATCH(B14,$H$5:$H$7,0))</f>
        <v/>
      </c>
    </row>
    <row r="16">
      <c r="A16" s="3" t="inlineStr">
        <is>
          <t>Weight (lb)</t>
        </is>
      </c>
      <c r="B16" s="25">
        <f>B11*B12*B13*B15</f>
        <v/>
      </c>
    </row>
    <row r="18">
      <c r="A18" s="5" t="inlineStr">
        <is>
          <t>2 — ROUND BAR</t>
        </is>
      </c>
    </row>
    <row r="19">
      <c r="A19" t="inlineStr">
        <is>
          <t>Diameter (in)</t>
        </is>
      </c>
      <c r="B19" s="7" t="n">
        <v>1.5</v>
      </c>
    </row>
    <row r="20">
      <c r="A20" t="inlineStr">
        <is>
          <t>Length (in)</t>
        </is>
      </c>
      <c r="B20" s="17" t="n">
        <v>12</v>
      </c>
    </row>
    <row r="21">
      <c r="A21" t="inlineStr">
        <is>
          <t>Material (Steel / Stainless / Aluminum)</t>
        </is>
      </c>
      <c r="B21" s="24" t="inlineStr">
        <is>
          <t>Steel</t>
        </is>
      </c>
    </row>
    <row r="22">
      <c r="A22" s="3" t="inlineStr">
        <is>
          <t>Weight (lb)</t>
        </is>
      </c>
      <c r="B22" s="25">
        <f>B19^2*INDEX($I$10:$I$12,MATCH(B21,$H$10:$H$12,0))*(B20/12)</f>
        <v/>
      </c>
    </row>
    <row r="24">
      <c r="A24" s="5" t="inlineStr">
        <is>
          <t>3 — WEIGHT PER FOOT &amp; SHAPES (steel)</t>
        </is>
      </c>
    </row>
    <row r="25">
      <c r="A25" s="3" t="inlineStr">
        <is>
          <t>Shape</t>
        </is>
      </c>
      <c r="B25" s="3" t="inlineStr">
        <is>
          <t>Size 1</t>
        </is>
      </c>
      <c r="C25" s="3" t="inlineStr">
        <is>
          <t>Size 2</t>
        </is>
      </c>
      <c r="D25" s="3" t="inlineStr">
        <is>
          <t>Result</t>
        </is>
      </c>
      <c r="E25" s="3" t="inlineStr">
        <is>
          <t>Units</t>
        </is>
      </c>
    </row>
    <row r="26">
      <c r="A26" t="inlineStr">
        <is>
          <t>Round bar — dia (in)</t>
        </is>
      </c>
      <c r="B26" s="7" t="n">
        <v>1</v>
      </c>
      <c r="D26" s="11">
        <f>2.67*B26^2</f>
        <v/>
      </c>
      <c r="E26" s="2" t="inlineStr">
        <is>
          <t>lb/ft</t>
        </is>
      </c>
    </row>
    <row r="27">
      <c r="A27" t="inlineStr">
        <is>
          <t>Square bar — side (in)</t>
        </is>
      </c>
      <c r="B27" s="7" t="n">
        <v>1</v>
      </c>
      <c r="D27" s="11">
        <f>3.4*B27^2</f>
        <v/>
      </c>
      <c r="E27" s="2" t="inlineStr">
        <is>
          <t>lb/ft</t>
        </is>
      </c>
    </row>
    <row r="28">
      <c r="A28" t="inlineStr">
        <is>
          <t>Hex bar — across flats (in)</t>
        </is>
      </c>
      <c r="B28" s="7" t="n">
        <v>1</v>
      </c>
      <c r="D28" s="11">
        <f>2.945*B28^2</f>
        <v/>
      </c>
      <c r="E28" s="2" t="inlineStr">
        <is>
          <t>lb/ft</t>
        </is>
      </c>
    </row>
    <row r="29">
      <c r="A29" t="inlineStr">
        <is>
          <t>Octagon bar — across flats (in)</t>
        </is>
      </c>
      <c r="B29" s="7" t="n">
        <v>1</v>
      </c>
      <c r="D29" s="11">
        <f>2.817*B29^2</f>
        <v/>
      </c>
      <c r="E29" s="2" t="inlineStr">
        <is>
          <t>lb/ft</t>
        </is>
      </c>
    </row>
    <row r="30">
      <c r="A30" t="inlineStr">
        <is>
          <t>Plate — thickness × width (in)</t>
        </is>
      </c>
      <c r="B30" s="7" t="n">
        <v>0.25</v>
      </c>
      <c r="C30" s="7" t="n">
        <v>12</v>
      </c>
      <c r="D30" s="11">
        <f>3.40*B30*C30</f>
        <v/>
      </c>
      <c r="E30" s="2" t="inlineStr">
        <is>
          <t>lb/ft</t>
        </is>
      </c>
    </row>
    <row r="31">
      <c r="A31" t="inlineStr">
        <is>
          <t>Plate circle — dia × thickness (in)</t>
        </is>
      </c>
      <c r="B31" s="7" t="n">
        <v>10</v>
      </c>
      <c r="C31" s="7" t="n">
        <v>0.25</v>
      </c>
      <c r="D31" s="11">
        <f>0.2225*B31^2*C31</f>
        <v/>
      </c>
      <c r="E31" s="2" t="inlineStr">
        <is>
          <t>lb each</t>
        </is>
      </c>
    </row>
    <row r="32">
      <c r="A32" t="inlineStr">
        <is>
          <t>Round tube — OD × wall (in)</t>
        </is>
      </c>
      <c r="B32" s="7" t="n">
        <v>1</v>
      </c>
      <c r="C32" s="7" t="n">
        <v>0.083</v>
      </c>
      <c r="D32" s="11">
        <f>10.68*(B32-C32)*C32</f>
        <v/>
      </c>
      <c r="E32" s="2" t="inlineStr">
        <is>
          <t>lb/ft</t>
        </is>
      </c>
    </row>
    <row r="33">
      <c r="A33" t="inlineStr">
        <is>
          <t>Square tube — OD × wall (in)</t>
        </is>
      </c>
      <c r="B33" s="7" t="n">
        <v>2</v>
      </c>
      <c r="C33" s="7" t="n">
        <v>0.125</v>
      </c>
      <c r="D33" s="11">
        <f>13.6*(B33-C33)*C33</f>
        <v/>
      </c>
      <c r="E33" s="2" t="inlineStr">
        <is>
          <t>lb/ft</t>
        </is>
      </c>
    </row>
    <row r="34">
      <c r="A34" t="inlineStr">
        <is>
          <t>Rect tube — long × short × wall (in)</t>
        </is>
      </c>
      <c r="B34" s="7" t="n">
        <v>3</v>
      </c>
      <c r="C34" s="7" t="n">
        <v>2</v>
      </c>
      <c r="D34" s="7" t="n">
        <v>0.125</v>
      </c>
      <c r="E34" s="11">
        <f>13.6*((B34+C34)-D34)*D34</f>
        <v/>
      </c>
      <c r="F34" s="2" t="inlineStr">
        <is>
          <t>lb/ft</t>
        </is>
      </c>
    </row>
    <row r="36">
      <c r="A36" s="5" t="inlineStr">
        <is>
          <t>4 — BAR YIELD</t>
        </is>
      </c>
    </row>
    <row r="37">
      <c r="A37" t="inlineStr">
        <is>
          <t>Bar length (ft)</t>
        </is>
      </c>
      <c r="B37" s="12" t="n">
        <v>12</v>
      </c>
    </row>
    <row r="38">
      <c r="A38" t="inlineStr">
        <is>
          <t>Part length (in)</t>
        </is>
      </c>
      <c r="B38" s="7" t="n">
        <v>2.5</v>
      </c>
    </row>
    <row r="39">
      <c r="A39" t="inlineStr">
        <is>
          <t>Kerf / cutoff (in)</t>
        </is>
      </c>
      <c r="B39" s="7" t="n">
        <v>0.25</v>
      </c>
    </row>
    <row r="40">
      <c r="A40" t="inlineStr">
        <is>
          <t>Bar weight (lb)</t>
        </is>
      </c>
      <c r="B40" s="12">
        <f>B22</f>
        <v/>
      </c>
    </row>
    <row r="41">
      <c r="A41" s="3" t="inlineStr">
        <is>
          <t>Parts per bar</t>
        </is>
      </c>
      <c r="B41" s="8">
        <f>FLOOR((B37*12-$B$5)/(B38+$B$6+B39),1)</f>
        <v/>
      </c>
    </row>
    <row r="42">
      <c r="A42" t="inlineStr">
        <is>
          <t>Weight per 1,000 parts (lb)</t>
        </is>
      </c>
      <c r="B42" s="18">
        <f>CEILING((B40/((B37*12-$B$5)/(B38+$B$6+B39)))*1000*$B$7,1)</f>
        <v/>
      </c>
    </row>
    <row r="44">
      <c r="A44" s="5" t="inlineStr">
        <is>
          <t>5 — TUBING YIELD</t>
        </is>
      </c>
    </row>
    <row r="45">
      <c r="A45" t="inlineStr">
        <is>
          <t>Tube length (ft)</t>
        </is>
      </c>
      <c r="B45" s="12" t="n">
        <v>20</v>
      </c>
    </row>
    <row r="46">
      <c r="A46" t="inlineStr">
        <is>
          <t>Part length (in)</t>
        </is>
      </c>
      <c r="B46" s="7" t="n">
        <v>6</v>
      </c>
    </row>
    <row r="47">
      <c r="A47" s="3" t="inlineStr">
        <is>
          <t>Parts per tube</t>
        </is>
      </c>
      <c r="B47" s="8">
        <f>FLOOR((B45*12-$B$5)/(B46+$B$6),1)</f>
        <v/>
      </c>
    </row>
    <row r="48">
      <c r="A48" t="inlineStr">
        <is>
          <t>Feet of tube per 1,000 parts</t>
        </is>
      </c>
      <c r="B48" s="9">
        <f>CEILING((B45*12/((B45*12-$B$5)/(B46+$B$6)))*1000/12,1)*$B$7</f>
        <v/>
      </c>
    </row>
    <row r="50">
      <c r="A50" s="5" t="inlineStr">
        <is>
          <t>6 — LASER YIELD</t>
        </is>
      </c>
    </row>
    <row r="51">
      <c r="A51" t="inlineStr">
        <is>
          <t>Parts per sheet</t>
        </is>
      </c>
      <c r="B51" s="6" t="n">
        <v>24</v>
      </c>
    </row>
    <row r="52">
      <c r="A52" t="inlineStr">
        <is>
          <t>Sheet weight (lb)</t>
        </is>
      </c>
      <c r="B52" s="12">
        <f>B16</f>
        <v/>
      </c>
    </row>
    <row r="53">
      <c r="A53" s="3" t="inlineStr">
        <is>
          <t>Pounds per 1,000 parts</t>
        </is>
      </c>
      <c r="B53" s="8">
        <f>CEILING((B52/B51)*1000*$B$7,1)</f>
        <v/>
      </c>
    </row>
    <row r="55">
      <c r="A55" s="5" t="inlineStr">
        <is>
          <t>7 — BLANKING YIELD</t>
        </is>
      </c>
    </row>
    <row r="56">
      <c r="A56" t="inlineStr">
        <is>
          <t>Shear width (in)</t>
        </is>
      </c>
      <c r="B56" s="7" t="n">
        <v>6</v>
      </c>
    </row>
    <row r="57">
      <c r="A57" t="inlineStr">
        <is>
          <t>Parts per strip</t>
        </is>
      </c>
      <c r="B57" s="6" t="n">
        <v>8</v>
      </c>
    </row>
    <row r="58">
      <c r="A58" t="inlineStr">
        <is>
          <t>Sheet weight (lb)</t>
        </is>
      </c>
      <c r="B58" s="12">
        <f>B16</f>
        <v/>
      </c>
    </row>
    <row r="59">
      <c r="A59" t="inlineStr">
        <is>
          <t>Drops per sheet</t>
        </is>
      </c>
      <c r="B59" s="18">
        <f>FLOOR($B$8/B56,1)</f>
        <v/>
      </c>
    </row>
    <row r="60">
      <c r="A60" t="inlineStr">
        <is>
          <t>Weight per 1,000 parts (lb)</t>
        </is>
      </c>
      <c r="B60" s="18">
        <f>CEILING(((1000/B59)/B57)*B58,1)</f>
        <v/>
      </c>
    </row>
    <row r="62">
      <c r="A62" s="5" t="inlineStr">
        <is>
          <t>8 — SHEET GAUGE WEIGHTS (LB PER 4×10 SHEET)</t>
        </is>
      </c>
    </row>
    <row r="63">
      <c r="A63" s="3" t="inlineStr">
        <is>
          <t>Material</t>
        </is>
      </c>
      <c r="B63" s="3" t="inlineStr">
        <is>
          <t>Thickness (in)</t>
        </is>
      </c>
      <c r="C63" s="3" t="inlineStr">
        <is>
          <t>Weight (lb)</t>
        </is>
      </c>
    </row>
    <row r="64">
      <c r="A64" t="inlineStr">
        <is>
          <t>Steel</t>
        </is>
      </c>
      <c r="B64" s="10" t="n">
        <v>0.018</v>
      </c>
      <c r="C64" s="9" t="n">
        <v>30</v>
      </c>
    </row>
    <row r="65">
      <c r="A65" t="inlineStr">
        <is>
          <t>Steel</t>
        </is>
      </c>
      <c r="B65" s="10" t="n">
        <v>0.024</v>
      </c>
      <c r="C65" s="9" t="n">
        <v>40</v>
      </c>
    </row>
    <row r="66">
      <c r="A66" t="inlineStr">
        <is>
          <t>Steel</t>
        </is>
      </c>
      <c r="B66" s="10" t="n">
        <v>0.03</v>
      </c>
      <c r="C66" s="9" t="n">
        <v>50</v>
      </c>
    </row>
    <row r="67">
      <c r="A67" t="inlineStr">
        <is>
          <t>Steel</t>
        </is>
      </c>
      <c r="B67" s="10" t="n">
        <v>0.036</v>
      </c>
      <c r="C67" s="9" t="n">
        <v>60</v>
      </c>
    </row>
    <row r="68">
      <c r="A68" t="inlineStr">
        <is>
          <t>Steel</t>
        </is>
      </c>
      <c r="B68" s="10" t="n">
        <v>0.042</v>
      </c>
      <c r="C68" s="9" t="n">
        <v>70</v>
      </c>
    </row>
    <row r="69">
      <c r="A69" t="inlineStr">
        <is>
          <t>Steel</t>
        </is>
      </c>
      <c r="B69" s="10" t="n">
        <v>0.048</v>
      </c>
      <c r="C69" s="9" t="n">
        <v>80</v>
      </c>
    </row>
    <row r="70">
      <c r="A70" t="inlineStr">
        <is>
          <t>Steel</t>
        </is>
      </c>
      <c r="B70" s="10" t="n">
        <v>0.06</v>
      </c>
      <c r="C70" s="9" t="n">
        <v>100</v>
      </c>
    </row>
    <row r="71">
      <c r="A71" t="inlineStr">
        <is>
          <t>Steel</t>
        </is>
      </c>
      <c r="B71" s="10" t="n">
        <v>0.074</v>
      </c>
      <c r="C71" s="9" t="n">
        <v>125</v>
      </c>
    </row>
    <row r="72">
      <c r="A72" t="inlineStr">
        <is>
          <t>Steel</t>
        </is>
      </c>
      <c r="B72" s="10" t="n">
        <v>0.09</v>
      </c>
      <c r="C72" s="9" t="n">
        <v>150</v>
      </c>
    </row>
    <row r="73">
      <c r="A73" t="inlineStr">
        <is>
          <t>Steel</t>
        </is>
      </c>
      <c r="B73" s="10" t="n">
        <v>0.104</v>
      </c>
      <c r="C73" s="9" t="n">
        <v>175</v>
      </c>
    </row>
    <row r="74">
      <c r="A74" t="inlineStr">
        <is>
          <t>Steel</t>
        </is>
      </c>
      <c r="B74" s="10" t="n">
        <v>0.12</v>
      </c>
      <c r="C74" s="9" t="n">
        <v>200</v>
      </c>
    </row>
    <row r="75">
      <c r="A75" t="inlineStr">
        <is>
          <t>Steel</t>
        </is>
      </c>
      <c r="B75" s="10" t="n">
        <v>0.125</v>
      </c>
      <c r="C75" s="9" t="n">
        <v>210</v>
      </c>
    </row>
    <row r="76">
      <c r="A76" t="inlineStr">
        <is>
          <t>Steel</t>
        </is>
      </c>
      <c r="B76" s="10" t="n">
        <v>0.134</v>
      </c>
      <c r="C76" s="9" t="n">
        <v>225</v>
      </c>
    </row>
    <row r="77">
      <c r="A77" t="inlineStr">
        <is>
          <t>Steel</t>
        </is>
      </c>
      <c r="B77" s="10" t="n">
        <v>0.149</v>
      </c>
      <c r="C77" s="9" t="n">
        <v>250</v>
      </c>
    </row>
    <row r="78">
      <c r="A78" t="inlineStr">
        <is>
          <t>Steel</t>
        </is>
      </c>
      <c r="B78" s="10" t="n">
        <v>0.156</v>
      </c>
      <c r="C78" s="9" t="n">
        <v>262</v>
      </c>
    </row>
    <row r="79">
      <c r="A79" t="inlineStr">
        <is>
          <t>Steel</t>
        </is>
      </c>
      <c r="B79" s="10" t="n">
        <v>0.164</v>
      </c>
      <c r="C79" s="9" t="n">
        <v>275</v>
      </c>
    </row>
    <row r="80">
      <c r="A80" t="inlineStr">
        <is>
          <t>Steel</t>
        </is>
      </c>
      <c r="B80" s="10" t="n">
        <v>0.179</v>
      </c>
      <c r="C80" s="9" t="n">
        <v>300</v>
      </c>
    </row>
    <row r="81">
      <c r="A81" t="inlineStr">
        <is>
          <t>Steel</t>
        </is>
      </c>
      <c r="B81" s="10" t="n">
        <v>0.18</v>
      </c>
      <c r="C81" s="9" t="n">
        <v>302</v>
      </c>
    </row>
    <row r="82">
      <c r="A82" t="inlineStr">
        <is>
          <t>Steel</t>
        </is>
      </c>
      <c r="B82" s="10" t="n">
        <v>0.187</v>
      </c>
      <c r="C82" s="9" t="n">
        <v>306.4</v>
      </c>
    </row>
    <row r="83">
      <c r="A83" t="inlineStr">
        <is>
          <t>Steel</t>
        </is>
      </c>
      <c r="B83" s="10" t="n">
        <v>0.194</v>
      </c>
      <c r="C83" s="9" t="n">
        <v>325</v>
      </c>
    </row>
    <row r="84">
      <c r="A84" t="inlineStr">
        <is>
          <t>Steel</t>
        </is>
      </c>
      <c r="B84" s="10" t="n">
        <v>0.236</v>
      </c>
      <c r="C84" s="9" t="n">
        <v>385.6</v>
      </c>
    </row>
    <row r="85">
      <c r="A85" t="inlineStr">
        <is>
          <t>Steel</t>
        </is>
      </c>
      <c r="B85" s="10" t="n">
        <v>0.25</v>
      </c>
      <c r="C85" s="9" t="n">
        <v>408.4</v>
      </c>
    </row>
    <row r="86">
      <c r="A86" t="inlineStr">
        <is>
          <t>Steel</t>
        </is>
      </c>
      <c r="B86" s="10" t="n">
        <v>0.31</v>
      </c>
      <c r="C86" s="9" t="n">
        <v>408.32</v>
      </c>
    </row>
    <row r="87">
      <c r="A87" t="inlineStr">
        <is>
          <t>Steel</t>
        </is>
      </c>
      <c r="B87" s="10" t="n">
        <v>0.375</v>
      </c>
      <c r="C87" s="9" t="n">
        <v>490.24</v>
      </c>
    </row>
    <row r="88">
      <c r="A88" t="inlineStr">
        <is>
          <t>Steel</t>
        </is>
      </c>
      <c r="B88" s="10" t="n">
        <v>0.5</v>
      </c>
      <c r="C88" s="9" t="n">
        <v>653.4400000000001</v>
      </c>
    </row>
    <row r="89">
      <c r="A89" t="inlineStr">
        <is>
          <t>Galvanized</t>
        </is>
      </c>
      <c r="B89" s="10" t="n">
        <v>0.018</v>
      </c>
      <c r="C89" s="9" t="n">
        <v>30</v>
      </c>
    </row>
    <row r="90">
      <c r="A90" t="inlineStr">
        <is>
          <t>Galvanized</t>
        </is>
      </c>
      <c r="B90" s="10" t="n">
        <v>0.022</v>
      </c>
      <c r="C90" s="9" t="n">
        <v>36.24</v>
      </c>
    </row>
    <row r="91">
      <c r="A91" t="inlineStr">
        <is>
          <t>Galvanized</t>
        </is>
      </c>
      <c r="B91" s="10" t="n">
        <v>0.024</v>
      </c>
      <c r="C91" s="9" t="n">
        <v>40</v>
      </c>
    </row>
    <row r="92">
      <c r="A92" t="inlineStr">
        <is>
          <t>Galvanized</t>
        </is>
      </c>
      <c r="B92" s="10" t="n">
        <v>0.028</v>
      </c>
      <c r="C92" s="9" t="n">
        <v>46.24</v>
      </c>
    </row>
    <row r="93">
      <c r="A93" t="inlineStr">
        <is>
          <t>Galvanized</t>
        </is>
      </c>
      <c r="B93" s="10" t="n">
        <v>0.03</v>
      </c>
      <c r="C93" s="9" t="n">
        <v>50</v>
      </c>
    </row>
    <row r="94">
      <c r="A94" t="inlineStr">
        <is>
          <t>Galvanized</t>
        </is>
      </c>
      <c r="B94" s="10" t="n">
        <v>0.034</v>
      </c>
      <c r="C94" s="9" t="n">
        <v>56.24</v>
      </c>
    </row>
    <row r="95">
      <c r="A95" t="inlineStr">
        <is>
          <t>Galvanized</t>
        </is>
      </c>
      <c r="B95" s="10" t="n">
        <v>0.036</v>
      </c>
      <c r="C95" s="9" t="n">
        <v>60</v>
      </c>
    </row>
    <row r="96">
      <c r="A96" t="inlineStr">
        <is>
          <t>Galvanized</t>
        </is>
      </c>
      <c r="B96" s="10" t="n">
        <v>0.04</v>
      </c>
      <c r="C96" s="9" t="n">
        <v>66.23999999999999</v>
      </c>
    </row>
    <row r="97">
      <c r="A97" t="inlineStr">
        <is>
          <t>Galvanized</t>
        </is>
      </c>
      <c r="B97" s="10" t="n">
        <v>0.048</v>
      </c>
      <c r="C97" s="9" t="n">
        <v>80</v>
      </c>
    </row>
    <row r="98">
      <c r="A98" t="inlineStr">
        <is>
          <t>Galvanized</t>
        </is>
      </c>
      <c r="B98" s="10" t="n">
        <v>0.052</v>
      </c>
      <c r="C98" s="9" t="n">
        <v>86.23999999999999</v>
      </c>
    </row>
    <row r="99">
      <c r="A99" t="inlineStr">
        <is>
          <t>Galvanized</t>
        </is>
      </c>
      <c r="B99" s="10" t="n">
        <v>0.06</v>
      </c>
      <c r="C99" s="9" t="n">
        <v>100</v>
      </c>
    </row>
    <row r="100">
      <c r="A100" t="inlineStr">
        <is>
          <t>Galvanized</t>
        </is>
      </c>
      <c r="B100" s="10" t="n">
        <v>0.064</v>
      </c>
      <c r="C100" s="9" t="n">
        <v>106.2</v>
      </c>
    </row>
    <row r="101">
      <c r="A101" t="inlineStr">
        <is>
          <t>Galvanized</t>
        </is>
      </c>
      <c r="B101" s="10" t="n">
        <v>0.075</v>
      </c>
      <c r="C101" s="9" t="n">
        <v>125</v>
      </c>
    </row>
    <row r="102">
      <c r="A102" t="inlineStr">
        <is>
          <t>Galvanized</t>
        </is>
      </c>
      <c r="B102" s="10" t="n">
        <v>0.079</v>
      </c>
      <c r="C102" s="9" t="n">
        <v>131.2</v>
      </c>
    </row>
    <row r="103">
      <c r="A103" t="inlineStr">
        <is>
          <t>Galvanized</t>
        </is>
      </c>
      <c r="B103" s="10" t="n">
        <v>0.109</v>
      </c>
      <c r="C103" s="9" t="n">
        <v>181.2</v>
      </c>
    </row>
    <row r="104">
      <c r="A104" t="inlineStr">
        <is>
          <t>Galvanized</t>
        </is>
      </c>
      <c r="B104" s="10" t="n">
        <v>0.124</v>
      </c>
      <c r="C104" s="9" t="n">
        <v>206.2</v>
      </c>
    </row>
    <row r="105">
      <c r="A105" t="inlineStr">
        <is>
          <t>Galvanized</t>
        </is>
      </c>
      <c r="B105" s="10" t="n">
        <v>0.139</v>
      </c>
      <c r="C105" s="9" t="n">
        <v>231.2</v>
      </c>
    </row>
    <row r="106">
      <c r="A106" t="inlineStr">
        <is>
          <t>Galvanized</t>
        </is>
      </c>
      <c r="B106" s="10" t="n">
        <v>0.168</v>
      </c>
      <c r="C106" s="9" t="n">
        <v>281.2</v>
      </c>
    </row>
    <row r="107">
      <c r="A107" t="inlineStr">
        <is>
          <t>Stainless</t>
        </is>
      </c>
      <c r="B107" s="10" t="n">
        <v>0.015</v>
      </c>
      <c r="C107" s="9" t="n">
        <v>25.2</v>
      </c>
    </row>
    <row r="108">
      <c r="A108" t="inlineStr">
        <is>
          <t>Stainless</t>
        </is>
      </c>
      <c r="B108" s="10" t="n">
        <v>0.018</v>
      </c>
      <c r="C108" s="9" t="n">
        <v>30.24</v>
      </c>
    </row>
    <row r="109">
      <c r="A109" t="inlineStr">
        <is>
          <t>Stainless</t>
        </is>
      </c>
      <c r="B109" s="10" t="n">
        <v>0.024</v>
      </c>
      <c r="C109" s="9" t="n">
        <v>40.32</v>
      </c>
    </row>
    <row r="110">
      <c r="A110" t="inlineStr">
        <is>
          <t>Stainless</t>
        </is>
      </c>
      <c r="B110" s="10" t="n">
        <v>0.03</v>
      </c>
      <c r="C110" s="9" t="n">
        <v>50.4</v>
      </c>
    </row>
    <row r="111">
      <c r="A111" t="inlineStr">
        <is>
          <t>Stainless</t>
        </is>
      </c>
      <c r="B111" s="10" t="n">
        <v>0.036</v>
      </c>
      <c r="C111" s="9" t="n">
        <v>60.48</v>
      </c>
    </row>
    <row r="112">
      <c r="A112" t="inlineStr">
        <is>
          <t>Stainless</t>
        </is>
      </c>
      <c r="B112" s="10" t="n">
        <v>0.042</v>
      </c>
      <c r="C112" s="9" t="n">
        <v>70.56</v>
      </c>
    </row>
    <row r="113">
      <c r="A113" t="inlineStr">
        <is>
          <t>Stainless</t>
        </is>
      </c>
      <c r="B113" s="10" t="n">
        <v>0.048</v>
      </c>
      <c r="C113" s="9" t="n">
        <v>80.64</v>
      </c>
    </row>
    <row r="114">
      <c r="A114" t="inlineStr">
        <is>
          <t>Stainless</t>
        </is>
      </c>
      <c r="B114" s="10" t="n">
        <v>0.06</v>
      </c>
      <c r="C114" s="9" t="n">
        <v>100.8</v>
      </c>
    </row>
    <row r="115">
      <c r="A115" t="inlineStr">
        <is>
          <t>Stainless</t>
        </is>
      </c>
      <c r="B115" s="10" t="n">
        <v>0.075</v>
      </c>
      <c r="C115" s="9" t="n">
        <v>126</v>
      </c>
    </row>
    <row r="116">
      <c r="A116" t="inlineStr">
        <is>
          <t>Stainless</t>
        </is>
      </c>
      <c r="B116" s="10" t="n">
        <v>0.09</v>
      </c>
      <c r="C116" s="9" t="n">
        <v>151.2</v>
      </c>
    </row>
    <row r="117">
      <c r="A117" t="inlineStr">
        <is>
          <t>Stainless</t>
        </is>
      </c>
      <c r="B117" s="10" t="n">
        <v>0.105</v>
      </c>
      <c r="C117" s="9" t="n">
        <v>176.4</v>
      </c>
    </row>
    <row r="118">
      <c r="A118" t="inlineStr">
        <is>
          <t>Stainless</t>
        </is>
      </c>
      <c r="B118" s="10" t="n">
        <v>0.12</v>
      </c>
      <c r="C118" s="9" t="n">
        <v>201.6</v>
      </c>
    </row>
    <row r="119">
      <c r="A119" t="inlineStr">
        <is>
          <t>Stainless</t>
        </is>
      </c>
      <c r="B119" s="10" t="n">
        <v>0.135</v>
      </c>
      <c r="C119" s="9" t="n">
        <v>226.8</v>
      </c>
    </row>
    <row r="120">
      <c r="A120" t="inlineStr">
        <is>
          <t>Stainless</t>
        </is>
      </c>
      <c r="B120" s="10" t="n">
        <v>0.165</v>
      </c>
      <c r="C120" s="9" t="n">
        <v>277.2</v>
      </c>
    </row>
    <row r="121">
      <c r="A121" t="inlineStr">
        <is>
          <t>Stainless</t>
        </is>
      </c>
      <c r="B121" s="10" t="n">
        <v>0.187</v>
      </c>
      <c r="C121" s="9" t="n">
        <v>314.8</v>
      </c>
    </row>
    <row r="122">
      <c r="A122" t="inlineStr">
        <is>
          <t>Stainless</t>
        </is>
      </c>
      <c r="B122" s="10" t="n">
        <v>0.25</v>
      </c>
      <c r="C122" s="9" t="n">
        <v>446.4</v>
      </c>
    </row>
    <row r="123">
      <c r="A123" t="inlineStr">
        <is>
          <t>Stainless</t>
        </is>
      </c>
      <c r="B123" s="10" t="n">
        <v>0.312</v>
      </c>
      <c r="C123" s="9" t="n">
        <v>550</v>
      </c>
    </row>
    <row r="124">
      <c r="A124" t="inlineStr">
        <is>
          <t>Stainless</t>
        </is>
      </c>
      <c r="B124" s="10" t="n">
        <v>0.375</v>
      </c>
      <c r="C124" s="9" t="n">
        <v>660</v>
      </c>
    </row>
    <row r="125">
      <c r="A125" t="inlineStr">
        <is>
          <t>Aluminum</t>
        </is>
      </c>
      <c r="B125" s="10" t="n">
        <v>0.02</v>
      </c>
      <c r="C125" s="9" t="n">
        <v>11.18</v>
      </c>
    </row>
    <row r="126">
      <c r="A126" t="inlineStr">
        <is>
          <t>Aluminum</t>
        </is>
      </c>
      <c r="B126" s="10" t="n">
        <v>0.025</v>
      </c>
      <c r="C126" s="9" t="n">
        <v>13.97</v>
      </c>
    </row>
    <row r="127">
      <c r="A127" t="inlineStr">
        <is>
          <t>Aluminum</t>
        </is>
      </c>
      <c r="B127" s="10" t="n">
        <v>0.032</v>
      </c>
      <c r="C127" s="9" t="n">
        <v>17.88</v>
      </c>
    </row>
    <row r="128">
      <c r="A128" t="inlineStr">
        <is>
          <t>Aluminum</t>
        </is>
      </c>
      <c r="B128" s="10" t="n">
        <v>0.04</v>
      </c>
      <c r="C128" s="9" t="n">
        <v>22.35</v>
      </c>
    </row>
    <row r="129">
      <c r="A129" t="inlineStr">
        <is>
          <t>Aluminum</t>
        </is>
      </c>
      <c r="B129" s="10" t="n">
        <v>0.05</v>
      </c>
      <c r="C129" s="9" t="n">
        <v>27.94</v>
      </c>
    </row>
    <row r="130">
      <c r="A130" t="inlineStr">
        <is>
          <t>Aluminum</t>
        </is>
      </c>
      <c r="B130" s="10" t="n">
        <v>0.063</v>
      </c>
      <c r="C130" s="9" t="n">
        <v>35.2</v>
      </c>
    </row>
    <row r="131">
      <c r="A131" t="inlineStr">
        <is>
          <t>Aluminum</t>
        </is>
      </c>
      <c r="B131" s="10" t="n">
        <v>0.08</v>
      </c>
      <c r="C131" s="9" t="n">
        <v>44.68</v>
      </c>
    </row>
    <row r="132">
      <c r="A132" t="inlineStr">
        <is>
          <t>Aluminum</t>
        </is>
      </c>
      <c r="B132" s="10" t="n">
        <v>0.09</v>
      </c>
      <c r="C132" s="9" t="n">
        <v>50.28</v>
      </c>
    </row>
    <row r="133">
      <c r="A133" t="inlineStr">
        <is>
          <t>Aluminum</t>
        </is>
      </c>
      <c r="B133" s="10" t="n">
        <v>0.1</v>
      </c>
      <c r="C133" s="9" t="n">
        <v>55.88</v>
      </c>
    </row>
    <row r="134">
      <c r="A134" t="inlineStr">
        <is>
          <t>Aluminum</t>
        </is>
      </c>
      <c r="B134" s="10" t="n">
        <v>0.125</v>
      </c>
      <c r="C134" s="9" t="n">
        <v>69.84</v>
      </c>
    </row>
    <row r="135">
      <c r="A135" t="inlineStr">
        <is>
          <t>Aluminum</t>
        </is>
      </c>
      <c r="B135" s="10" t="n">
        <v>0.16</v>
      </c>
      <c r="C135" s="9" t="n">
        <v>89.40000000000001</v>
      </c>
    </row>
    <row r="136">
      <c r="A136" t="inlineStr">
        <is>
          <t>Aluminum</t>
        </is>
      </c>
      <c r="B136" s="10" t="n">
        <v>0.19</v>
      </c>
      <c r="C136" s="9" t="n">
        <v>106.2</v>
      </c>
    </row>
    <row r="137">
      <c r="A137" t="inlineStr">
        <is>
          <t>Aluminum</t>
        </is>
      </c>
      <c r="B137" s="10" t="n">
        <v>0.25</v>
      </c>
      <c r="C137" s="9" t="n">
        <v>139.1</v>
      </c>
    </row>
    <row r="138">
      <c r="A138" t="inlineStr">
        <is>
          <t>SP 1075 spring steel</t>
        </is>
      </c>
      <c r="B138" s="10" t="n">
        <v>0.025</v>
      </c>
      <c r="C138" s="9" t="n">
        <v>16.32</v>
      </c>
    </row>
    <row r="139">
      <c r="A139" t="inlineStr">
        <is>
          <t>SP 1075 spring steel</t>
        </is>
      </c>
      <c r="B139" s="10" t="n">
        <v>0.035</v>
      </c>
      <c r="C139" s="9" t="n">
        <v>22.85</v>
      </c>
    </row>
    <row r="140">
      <c r="A140" t="inlineStr">
        <is>
          <t>SP 1075 spring steel</t>
        </is>
      </c>
      <c r="B140" s="10" t="n">
        <v>0.06</v>
      </c>
      <c r="C140" s="9" t="n">
        <v>39.17</v>
      </c>
    </row>
    <row r="141">
      <c r="A141" t="inlineStr">
        <is>
          <t>SP 1075 spring steel</t>
        </is>
      </c>
      <c r="B141" s="10" t="n">
        <v>0.062</v>
      </c>
      <c r="C141" s="9" t="n">
        <v>40.47</v>
      </c>
    </row>
    <row r="142">
      <c r="A142" t="inlineStr">
        <is>
          <t>SP 1075 spring steel</t>
        </is>
      </c>
      <c r="B142" s="10" t="n">
        <v>0.078</v>
      </c>
      <c r="C142" s="9" t="n">
        <v>50.92</v>
      </c>
    </row>
    <row r="143">
      <c r="A143" t="inlineStr">
        <is>
          <t>SP 1075 spring steel</t>
        </is>
      </c>
      <c r="B143" s="10" t="n">
        <v>0.094</v>
      </c>
      <c r="C143" s="9" t="n">
        <v>60.71</v>
      </c>
    </row>
    <row r="144">
      <c r="A144" t="inlineStr">
        <is>
          <t>SP 1075 spring steel</t>
        </is>
      </c>
      <c r="B144" s="10" t="n">
        <v>0.109</v>
      </c>
      <c r="C144" s="9" t="n">
        <v>71.2</v>
      </c>
    </row>
    <row r="145">
      <c r="A145" t="inlineStr">
        <is>
          <t>SP 1075 spring steel</t>
        </is>
      </c>
      <c r="B145" s="10" t="n">
        <v>0.125</v>
      </c>
      <c r="C145" s="9" t="n">
        <v>81.59999999999999</v>
      </c>
    </row>
    <row r="146">
      <c r="A146" t="inlineStr">
        <is>
          <t>PG</t>
        </is>
      </c>
      <c r="B146" s="10" t="n">
        <v>0.018</v>
      </c>
      <c r="C146" s="9" t="n">
        <v>30</v>
      </c>
    </row>
    <row r="147">
      <c r="A147" t="inlineStr">
        <is>
          <t>PG</t>
        </is>
      </c>
      <c r="B147" s="10" t="n">
        <v>0.024</v>
      </c>
      <c r="C147" s="9" t="n">
        <v>40</v>
      </c>
    </row>
    <row r="148">
      <c r="A148" t="inlineStr">
        <is>
          <t>PG</t>
        </is>
      </c>
      <c r="B148" s="10" t="n">
        <v>0.03</v>
      </c>
      <c r="C148" s="9" t="n">
        <v>50</v>
      </c>
    </row>
    <row r="149">
      <c r="A149" t="inlineStr">
        <is>
          <t>PG</t>
        </is>
      </c>
      <c r="B149" s="10" t="n">
        <v>0.036</v>
      </c>
      <c r="C149" s="9" t="n">
        <v>60</v>
      </c>
    </row>
    <row r="150">
      <c r="A150" t="inlineStr">
        <is>
          <t>PG</t>
        </is>
      </c>
      <c r="B150" s="10" t="n">
        <v>0.048</v>
      </c>
      <c r="C150" s="9" t="n">
        <v>80</v>
      </c>
    </row>
    <row r="151">
      <c r="A151" t="inlineStr">
        <is>
          <t>PG</t>
        </is>
      </c>
      <c r="B151" s="10" t="n">
        <v>0.06</v>
      </c>
      <c r="C151" s="9" t="n">
        <v>100</v>
      </c>
    </row>
    <row r="152">
      <c r="A152" t="inlineStr">
        <is>
          <t>PG</t>
        </is>
      </c>
      <c r="B152" s="10" t="n">
        <v>0.074</v>
      </c>
      <c r="C152" s="9" t="n">
        <v>125</v>
      </c>
    </row>
    <row r="153">
      <c r="A153" t="inlineStr">
        <is>
          <t>AY 4130 alloy</t>
        </is>
      </c>
      <c r="B153" s="10" t="n">
        <v>0.04</v>
      </c>
      <c r="C153" s="9" t="n">
        <v>27.5</v>
      </c>
    </row>
    <row r="154">
      <c r="A154" t="inlineStr">
        <is>
          <t>AY 4130 alloy</t>
        </is>
      </c>
      <c r="B154" s="10" t="n">
        <v>0.093</v>
      </c>
      <c r="C154" s="9" t="n">
        <v>60.71</v>
      </c>
    </row>
    <row r="155">
      <c r="A155" t="inlineStr">
        <is>
          <t>Copper</t>
        </is>
      </c>
      <c r="B155" s="10" t="n">
        <v>0.08</v>
      </c>
      <c r="C155" s="9" t="n">
        <v>60</v>
      </c>
    </row>
    <row r="156">
      <c r="A156" t="inlineStr">
        <is>
          <t>Copper</t>
        </is>
      </c>
      <c r="B156" s="10" t="n">
        <v>0.125</v>
      </c>
      <c r="C156" s="9" t="n">
        <v>139</v>
      </c>
    </row>
    <row r="158">
      <c r="A158" s="5" t="inlineStr">
        <is>
          <t>9 — WEIGHT FACTORS (STEEL) — THE CONSTANTS BEHIND THE WEIGHTS SHEET</t>
        </is>
      </c>
    </row>
    <row r="159">
      <c r="A159" t="inlineStr">
        <is>
          <t>Round bar, lb per foot</t>
        </is>
      </c>
      <c r="B159" t="inlineStr">
        <is>
          <t>dia² × 2.67</t>
        </is>
      </c>
    </row>
    <row r="160">
      <c r="A160" t="inlineStr">
        <is>
          <t>Square bar, lb per foot</t>
        </is>
      </c>
      <c r="B160" t="inlineStr">
        <is>
          <t>side² × 3.40</t>
        </is>
      </c>
    </row>
    <row r="161">
      <c r="A161" t="inlineStr">
        <is>
          <t>Hex bar, lb per foot</t>
        </is>
      </c>
      <c r="B161" t="inlineStr">
        <is>
          <t>across-flats² × 2.945</t>
        </is>
      </c>
    </row>
    <row r="162">
      <c r="A162" t="inlineStr">
        <is>
          <t>Octagon bar, lb per foot</t>
        </is>
      </c>
      <c r="B162" t="inlineStr">
        <is>
          <t>across-flats² × 2.817</t>
        </is>
      </c>
    </row>
    <row r="163">
      <c r="A163" t="inlineStr">
        <is>
          <t>Plate, lb per foot of width</t>
        </is>
      </c>
      <c r="B163" t="inlineStr">
        <is>
          <t>thickness × width × 3.40</t>
        </is>
      </c>
    </row>
    <row r="164">
      <c r="A164" t="inlineStr">
        <is>
          <t>Plate circle, lb each</t>
        </is>
      </c>
      <c r="B164" t="inlineStr">
        <is>
          <t>dia² × thickness × 0.2225</t>
        </is>
      </c>
    </row>
    <row r="165">
      <c r="A165" t="inlineStr">
        <is>
          <t>Round tube, lb per foot</t>
        </is>
      </c>
      <c r="B165" t="inlineStr">
        <is>
          <t>10.68 × (OD − wall) × wall</t>
        </is>
      </c>
    </row>
    <row r="166">
      <c r="A166" t="inlineStr">
        <is>
          <t>Square tube, lb per foot</t>
        </is>
      </c>
      <c r="B166" t="inlineStr">
        <is>
          <t>13.6 × (OD − wall) × wall</t>
        </is>
      </c>
    </row>
    <row r="167">
      <c r="A167" t="inlineStr">
        <is>
          <t>Rect tube, lb per foot</t>
        </is>
      </c>
      <c r="B167" t="inlineStr">
        <is>
          <t>13.6 × ((long + short) − wall) × wall</t>
        </is>
      </c>
    </row>
  </sheetData>
  <pageMargins left="0.75" right="0.75" top="1" bottom="1" header="0.5" footer="0.5"/>
  <headerFooter>
    <oddHeader>&amp;C&amp;9 H38 Quick Calc — Highway 38 Solutions</oddHeader>
    <oddFooter/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CHIP THINNING</t>
        </is>
      </c>
    </row>
    <row r="2">
      <c r="A2" s="2" t="inlineStr">
        <is>
          <t>H38 Quick Calc · Highway 38 Solutions — radial chip thinning factors, analytic (the workbook table checks out against them).</t>
        </is>
      </c>
    </row>
    <row r="4">
      <c r="A4" s="5" t="inlineStr">
        <is>
          <t>1 — CHIP THINNING</t>
        </is>
      </c>
    </row>
    <row r="5">
      <c r="A5" t="inlineStr">
        <is>
          <t>Programmed chip load (IPT)</t>
        </is>
      </c>
      <c r="B5" s="7" t="n">
        <v>0.004</v>
      </c>
    </row>
    <row r="6">
      <c r="A6" t="inlineStr">
        <is>
          <t>Radial depth of cut (in)</t>
        </is>
      </c>
      <c r="B6" s="7" t="n">
        <v>0.05</v>
      </c>
    </row>
    <row r="7">
      <c r="A7" t="inlineStr">
        <is>
          <t>Tool diameter (in)</t>
        </is>
      </c>
      <c r="B7" s="7" t="n">
        <v>0.5</v>
      </c>
    </row>
    <row r="8">
      <c r="A8" t="inlineStr">
        <is>
          <t>Ratio r = RDOC ÷ dia</t>
        </is>
      </c>
      <c r="B8" s="10">
        <f>B6/B7</f>
        <v/>
      </c>
    </row>
    <row r="9">
      <c r="A9" t="inlineStr">
        <is>
          <t>Factor A (× actual)</t>
        </is>
      </c>
      <c r="B9" s="10">
        <f>IF(B8&gt;=0.5,1,SQRT(1-(1-2*B8)^2))</f>
        <v/>
      </c>
    </row>
    <row r="10">
      <c r="A10" t="inlineStr">
        <is>
          <t>Factor B (× adjust)</t>
        </is>
      </c>
      <c r="B10" s="10">
        <f>1/B9</f>
        <v/>
      </c>
    </row>
    <row r="11">
      <c r="A11" s="3" t="inlineStr">
        <is>
          <t>Actual chip load (IPT)</t>
        </is>
      </c>
      <c r="B11" s="20">
        <f>B9*B5</f>
        <v/>
      </c>
    </row>
    <row r="12">
      <c r="A12" s="3" t="inlineStr">
        <is>
          <t>Adjusted chip load to program (IPT)</t>
        </is>
      </c>
      <c r="B12" s="20">
        <f>B10*B5</f>
        <v/>
      </c>
    </row>
    <row r="14">
      <c r="A14" s="5" t="inlineStr">
        <is>
          <t>2 — FACTOR TABLE (workbook) WITH ANALYTIC CHECK</t>
        </is>
      </c>
    </row>
    <row r="15">
      <c r="A15" s="3" t="inlineStr">
        <is>
          <t>RDOC ÷ Dia</t>
        </is>
      </c>
      <c r="B15" s="3" t="inlineStr">
        <is>
          <t>A — table</t>
        </is>
      </c>
      <c r="C15" s="3" t="inlineStr">
        <is>
          <t>B — table</t>
        </is>
      </c>
      <c r="D15" s="3" t="inlineStr">
        <is>
          <t>A — formula</t>
        </is>
      </c>
      <c r="E15" s="3" t="inlineStr">
        <is>
          <t>B — formula</t>
        </is>
      </c>
    </row>
    <row r="16">
      <c r="A16" s="11" t="n">
        <v>0.005</v>
      </c>
      <c r="B16" s="9" t="n">
        <v>0.14</v>
      </c>
      <c r="C16" s="9" t="n">
        <v>7.1</v>
      </c>
      <c r="D16" s="10">
        <f>IF($A16&gt;=0.5,1,SQRT(1-(1-2*$A16)^2))</f>
        <v/>
      </c>
      <c r="E16" s="10">
        <f>1/D16</f>
        <v/>
      </c>
    </row>
    <row r="17">
      <c r="A17" s="11" t="n">
        <v>0.01</v>
      </c>
      <c r="B17" s="9" t="n">
        <v>0.2</v>
      </c>
      <c r="C17" s="9" t="n">
        <v>5</v>
      </c>
      <c r="D17" s="10">
        <f>IF($A17&gt;=0.5,1,SQRT(1-(1-2*$A17)^2))</f>
        <v/>
      </c>
      <c r="E17" s="10">
        <f>1/D17</f>
        <v/>
      </c>
    </row>
    <row r="18">
      <c r="A18" s="11" t="n">
        <v>0.016</v>
      </c>
      <c r="B18" s="9" t="n">
        <v>0.25</v>
      </c>
      <c r="C18" s="9" t="n">
        <v>4</v>
      </c>
      <c r="D18" s="10">
        <f>IF($A18&gt;=0.5,1,SQRT(1-(1-2*$A18)^2))</f>
        <v/>
      </c>
      <c r="E18" s="10">
        <f>1/D18</f>
        <v/>
      </c>
    </row>
    <row r="19">
      <c r="A19" s="11" t="n">
        <v>0.02</v>
      </c>
      <c r="B19" s="9" t="n">
        <v>0.28</v>
      </c>
      <c r="C19" s="9" t="n">
        <v>3.6</v>
      </c>
      <c r="D19" s="10">
        <f>IF($A19&gt;=0.5,1,SQRT(1-(1-2*$A19)^2))</f>
        <v/>
      </c>
      <c r="E19" s="10">
        <f>1/D19</f>
        <v/>
      </c>
    </row>
    <row r="20">
      <c r="A20" s="11" t="n">
        <v>0.03</v>
      </c>
      <c r="B20" s="9" t="n">
        <v>0.34</v>
      </c>
      <c r="C20" s="9" t="n">
        <v>2.9</v>
      </c>
      <c r="D20" s="10">
        <f>IF($A20&gt;=0.5,1,SQRT(1-(1-2*$A20)^2))</f>
        <v/>
      </c>
      <c r="E20" s="10">
        <f>1/D20</f>
        <v/>
      </c>
    </row>
    <row r="21">
      <c r="A21" s="11" t="n">
        <v>0.04</v>
      </c>
      <c r="B21" s="9" t="n">
        <v>0.39</v>
      </c>
      <c r="C21" s="9" t="n">
        <v>2.6</v>
      </c>
      <c r="D21" s="10">
        <f>IF($A21&gt;=0.5,1,SQRT(1-(1-2*$A21)^2))</f>
        <v/>
      </c>
      <c r="E21" s="10">
        <f>1/D21</f>
        <v/>
      </c>
    </row>
    <row r="22">
      <c r="A22" s="11" t="n">
        <v>0.05</v>
      </c>
      <c r="B22" s="9" t="n">
        <v>0.44</v>
      </c>
      <c r="C22" s="9" t="n">
        <v>2.3</v>
      </c>
      <c r="D22" s="10">
        <f>IF($A22&gt;=0.5,1,SQRT(1-(1-2*$A22)^2))</f>
        <v/>
      </c>
      <c r="E22" s="10">
        <f>1/D22</f>
        <v/>
      </c>
    </row>
    <row r="23">
      <c r="A23" s="11" t="n">
        <v>0.06</v>
      </c>
      <c r="B23" s="9" t="n">
        <v>0.48</v>
      </c>
      <c r="C23" s="9" t="n">
        <v>2.1</v>
      </c>
      <c r="D23" s="10">
        <f>IF($A23&gt;=0.5,1,SQRT(1-(1-2*$A23)^2))</f>
        <v/>
      </c>
      <c r="E23" s="10">
        <f>1/D23</f>
        <v/>
      </c>
    </row>
    <row r="24">
      <c r="A24" s="11" t="n">
        <v>0.067</v>
      </c>
      <c r="B24" s="9" t="n">
        <v>0.5</v>
      </c>
      <c r="C24" s="9" t="n">
        <v>2</v>
      </c>
      <c r="D24" s="10">
        <f>IF($A24&gt;=0.5,1,SQRT(1-(1-2*$A24)^2))</f>
        <v/>
      </c>
      <c r="E24" s="10">
        <f>1/D24</f>
        <v/>
      </c>
    </row>
    <row r="25">
      <c r="A25" s="11" t="n">
        <v>0.08</v>
      </c>
      <c r="B25" s="9" t="n">
        <v>0.54</v>
      </c>
      <c r="C25" s="9" t="n">
        <v>1.9</v>
      </c>
      <c r="D25" s="10">
        <f>IF($A25&gt;=0.5,1,SQRT(1-(1-2*$A25)^2))</f>
        <v/>
      </c>
      <c r="E25" s="10">
        <f>1/D25</f>
        <v/>
      </c>
    </row>
    <row r="26">
      <c r="A26" s="11" t="n">
        <v>0.1</v>
      </c>
      <c r="B26" s="9" t="n">
        <v>0.6</v>
      </c>
      <c r="C26" s="9" t="n">
        <v>1.7</v>
      </c>
      <c r="D26" s="10">
        <f>IF($A26&gt;=0.5,1,SQRT(1-(1-2*$A26)^2))</f>
        <v/>
      </c>
      <c r="E26" s="10">
        <f>1/D26</f>
        <v/>
      </c>
    </row>
    <row r="27">
      <c r="A27" s="11" t="n">
        <v>0.12</v>
      </c>
      <c r="B27" s="9" t="n">
        <v>0.65</v>
      </c>
      <c r="C27" s="9" t="n">
        <v>1.5</v>
      </c>
      <c r="D27" s="10">
        <f>IF($A27&gt;=0.5,1,SQRT(1-(1-2*$A27)^2))</f>
        <v/>
      </c>
      <c r="E27" s="10">
        <f>1/D27</f>
        <v/>
      </c>
    </row>
    <row r="28">
      <c r="A28" s="11" t="n">
        <v>0.14</v>
      </c>
      <c r="B28" s="9" t="n">
        <v>0.7</v>
      </c>
      <c r="C28" s="9" t="n">
        <v>1.4</v>
      </c>
      <c r="D28" s="10">
        <f>IF($A28&gt;=0.5,1,SQRT(1-(1-2*$A28)^2))</f>
        <v/>
      </c>
      <c r="E28" s="10">
        <f>1/D28</f>
        <v/>
      </c>
    </row>
    <row r="29">
      <c r="A29" s="11" t="n">
        <v>0.16</v>
      </c>
      <c r="B29" s="9" t="n">
        <v>0.74</v>
      </c>
      <c r="C29" s="9" t="n">
        <v>1.35</v>
      </c>
      <c r="D29" s="10">
        <f>IF($A29&gt;=0.5,1,SQRT(1-(1-2*$A29)^2))</f>
        <v/>
      </c>
      <c r="E29" s="10">
        <f>1/D29</f>
        <v/>
      </c>
    </row>
    <row r="30">
      <c r="A30" s="11" t="n">
        <v>0.18</v>
      </c>
      <c r="B30" s="9" t="n">
        <v>0.77</v>
      </c>
      <c r="C30" s="9" t="n">
        <v>1.3</v>
      </c>
      <c r="D30" s="10">
        <f>IF($A30&gt;=0.5,1,SQRT(1-(1-2*$A30)^2))</f>
        <v/>
      </c>
      <c r="E30" s="10">
        <f>1/D30</f>
        <v/>
      </c>
    </row>
    <row r="31">
      <c r="A31" s="11" t="n">
        <v>0.2</v>
      </c>
      <c r="B31" s="9" t="n">
        <v>0.8</v>
      </c>
      <c r="C31" s="9" t="n">
        <v>1.25</v>
      </c>
      <c r="D31" s="10">
        <f>IF($A31&gt;=0.5,1,SQRT(1-(1-2*$A31)^2))</f>
        <v/>
      </c>
      <c r="E31" s="10">
        <f>1/D31</f>
        <v/>
      </c>
    </row>
    <row r="32">
      <c r="A32" s="11" t="n">
        <v>0.25</v>
      </c>
      <c r="B32" s="9" t="n">
        <v>0.87</v>
      </c>
      <c r="C32" s="9" t="n">
        <v>1.15</v>
      </c>
      <c r="D32" s="10">
        <f>IF($A32&gt;=0.5,1,SQRT(1-(1-2*$A32)^2))</f>
        <v/>
      </c>
      <c r="E32" s="10">
        <f>1/D32</f>
        <v/>
      </c>
    </row>
    <row r="33">
      <c r="A33" s="11" t="n">
        <v>0.3</v>
      </c>
      <c r="B33" s="9" t="n">
        <v>0.92</v>
      </c>
      <c r="C33" s="9" t="n">
        <v>1.09</v>
      </c>
      <c r="D33" s="10">
        <f>IF($A33&gt;=0.5,1,SQRT(1-(1-2*$A33)^2))</f>
        <v/>
      </c>
      <c r="E33" s="10">
        <f>1/D33</f>
        <v/>
      </c>
    </row>
    <row r="34">
      <c r="A34" s="11" t="n">
        <v>0.35</v>
      </c>
      <c r="B34" s="9" t="n">
        <v>0.96</v>
      </c>
      <c r="C34" s="9" t="n">
        <v>1.04</v>
      </c>
      <c r="D34" s="10">
        <f>IF($A34&gt;=0.5,1,SQRT(1-(1-2*$A34)^2))</f>
        <v/>
      </c>
      <c r="E34" s="10">
        <f>1/D34</f>
        <v/>
      </c>
    </row>
    <row r="35">
      <c r="A35" s="11" t="n">
        <v>0.4</v>
      </c>
      <c r="B35" s="9" t="n">
        <v>0.98</v>
      </c>
      <c r="C35" s="9" t="n">
        <v>1.02</v>
      </c>
      <c r="D35" s="10">
        <f>IF($A35&gt;=0.5,1,SQRT(1-(1-2*$A35)^2))</f>
        <v/>
      </c>
      <c r="E35" s="10">
        <f>1/D35</f>
        <v/>
      </c>
    </row>
    <row r="36">
      <c r="A36" s="11" t="n">
        <v>0.45</v>
      </c>
      <c r="B36" s="9" t="n">
        <v>0.99</v>
      </c>
      <c r="C36" s="9" t="n">
        <v>1.01</v>
      </c>
      <c r="D36" s="10">
        <f>IF($A36&gt;=0.5,1,SQRT(1-(1-2*$A36)^2))</f>
        <v/>
      </c>
      <c r="E36" s="10">
        <f>1/D36</f>
        <v/>
      </c>
    </row>
    <row r="37">
      <c r="A37" s="11" t="n">
        <v>0.5</v>
      </c>
      <c r="B37" s="9" t="n">
        <v>1</v>
      </c>
      <c r="C37" s="9" t="n">
        <v>1</v>
      </c>
      <c r="D37" s="10">
        <f>IF($A37&gt;=0.5,1,SQRT(1-(1-2*$A37)^2))</f>
        <v/>
      </c>
      <c r="E37" s="10">
        <f>1/D37</f>
        <v/>
      </c>
    </row>
  </sheetData>
  <pageMargins left="0.75" right="0.75" top="1" bottom="1" header="0.5" footer="0.5"/>
  <headerFooter>
    <oddHeader>&amp;C&amp;9 H38 Quick Calc — Highway 38 Solutions</oddHeader>
    <oddFooter/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30" customWidth="1" min="3" max="3"/>
  </cols>
  <sheetData>
    <row r="1">
      <c r="A1" s="1" t="inlineStr">
        <is>
          <t>BALL NOSE &amp; SCALLOP</t>
        </is>
      </c>
    </row>
    <row r="2">
      <c r="A2" s="2" t="inlineStr">
        <is>
          <t>H38 Quick Calc · Highway 38 Solutions — RPM from the true geometric effective diameter at depth, in both modes.</t>
        </is>
      </c>
    </row>
    <row r="4">
      <c r="A4" s="5" t="inlineStr">
        <is>
          <t>1 — BALL NOSE</t>
        </is>
      </c>
    </row>
    <row r="5">
      <c r="A5" t="inlineStr">
        <is>
          <t>Ball diameter (in)</t>
        </is>
      </c>
      <c r="B5" s="7" t="n">
        <v>0.75</v>
      </c>
    </row>
    <row r="6">
      <c r="A6" t="inlineStr">
        <is>
          <t>Axial depth of cut (in)</t>
        </is>
      </c>
      <c r="B6" s="7" t="n">
        <v>0.01</v>
      </c>
    </row>
    <row r="7">
      <c r="A7" t="inlineStr">
        <is>
          <t>Cutting speed (SFM)</t>
        </is>
      </c>
      <c r="B7" s="6" t="n">
        <v>350</v>
      </c>
    </row>
    <row r="8">
      <c r="A8" t="inlineStr">
        <is>
          <t>Feed per tooth (in)</t>
        </is>
      </c>
      <c r="B8" s="7" t="n">
        <v>0.006</v>
      </c>
    </row>
    <row r="9">
      <c r="A9" t="inlineStr">
        <is>
          <t>Effective teeth</t>
        </is>
      </c>
      <c r="B9" s="6" t="n">
        <v>2</v>
      </c>
    </row>
    <row r="10">
      <c r="A10" t="inlineStr">
        <is>
          <t>Machine max RPM</t>
        </is>
      </c>
      <c r="B10" s="6" t="n">
        <v>8000</v>
      </c>
    </row>
    <row r="11">
      <c r="A11" s="3" t="inlineStr">
        <is>
          <t>Effective diameter De (in)</t>
        </is>
      </c>
      <c r="B11" s="20">
        <f>2*SQRT(B6*(B5-B6))</f>
        <v/>
      </c>
    </row>
    <row r="12">
      <c r="A12" s="19" t="inlineStr">
        <is>
          <t>Tip cutting</t>
        </is>
      </c>
    </row>
    <row r="13">
      <c r="A13" t="inlineStr">
        <is>
          <t>RPM required</t>
        </is>
      </c>
      <c r="B13" s="15">
        <f>(12/PI())*B7/B11</f>
        <v/>
      </c>
    </row>
    <row r="14">
      <c r="A14" s="3" t="inlineStr">
        <is>
          <t>RPM used (capped at machine max)</t>
        </is>
      </c>
      <c r="B14" s="8">
        <f>MIN(B13,B10)</f>
        <v/>
      </c>
    </row>
    <row r="15">
      <c r="A15" t="inlineStr">
        <is>
          <t>Feed per rev (in)</t>
        </is>
      </c>
      <c r="B15" s="10">
        <f>B8*B9</f>
        <v/>
      </c>
    </row>
    <row r="16">
      <c r="A16" t="inlineStr">
        <is>
          <t>Feed rate (IPM)</t>
        </is>
      </c>
      <c r="B16" s="9">
        <f>B14*B15</f>
        <v/>
      </c>
    </row>
    <row r="17">
      <c r="A17" t="inlineStr">
        <is>
          <t>MRR (in³/min)</t>
        </is>
      </c>
      <c r="B17" s="10">
        <f>B6*B11*B16</f>
        <v/>
      </c>
    </row>
    <row r="18">
      <c r="A18" s="19" t="inlineStr">
        <is>
          <t>Surfacing</t>
        </is>
      </c>
    </row>
    <row r="19">
      <c r="A19" t="inlineStr">
        <is>
          <t>RPM required</t>
        </is>
      </c>
      <c r="B19" s="15">
        <f>B7*3.82/B11</f>
        <v/>
      </c>
    </row>
    <row r="20">
      <c r="A20" s="3" t="inlineStr">
        <is>
          <t>RPM used (capped at machine max)</t>
        </is>
      </c>
      <c r="B20" s="8">
        <f>MIN(B19,B10)</f>
        <v/>
      </c>
    </row>
    <row r="21">
      <c r="A21" t="inlineStr">
        <is>
          <t>Feed rate (IPM)</t>
        </is>
      </c>
      <c r="B21" s="9">
        <f>B20*B15</f>
        <v/>
      </c>
    </row>
    <row r="22">
      <c r="A22" s="3" t="inlineStr">
        <is>
          <t>Adjusted feed rate (IPM)</t>
        </is>
      </c>
      <c r="B22" s="25">
        <f>IF(B6&lt;B5/2,B21/(B11/B5),"n/a — depth ≥ D/2")</f>
        <v/>
      </c>
    </row>
    <row r="23">
      <c r="A23" t="inlineStr">
        <is>
          <t>Feed per rev — adjusted (in)</t>
        </is>
      </c>
      <c r="B23" s="10">
        <f>IF(B6&lt;B5/2,B22/B20,"n/a")</f>
        <v/>
      </c>
    </row>
    <row r="24">
      <c r="A24" t="inlineStr">
        <is>
          <t>Feed per tooth — adjusted (in)</t>
        </is>
      </c>
      <c r="B24" s="10">
        <f>IF(B6&lt;B5/2,B23/B9,"n/a")</f>
        <v/>
      </c>
    </row>
    <row r="25">
      <c r="A25" t="inlineStr">
        <is>
          <t>MRR (in³/min)</t>
        </is>
      </c>
      <c r="B25" s="10">
        <f>B6*B11*B21</f>
        <v/>
      </c>
    </row>
    <row r="26">
      <c r="A26" t="inlineStr">
        <is>
          <t>MRR — adjusted (in³/min)</t>
        </is>
      </c>
      <c r="B26" s="10">
        <f>IF(B6&lt;B5/2,B6*B11*B22,"n/a")</f>
        <v/>
      </c>
    </row>
    <row r="28">
      <c r="A28" s="5" t="inlineStr">
        <is>
          <t>2 — SCALLOP / STEPOVER</t>
        </is>
      </c>
    </row>
    <row r="29">
      <c r="A29" t="inlineStr">
        <is>
          <t>Ball diameter (in)</t>
        </is>
      </c>
      <c r="B29" s="7" t="n">
        <v>0.375</v>
      </c>
    </row>
    <row r="30">
      <c r="A30" t="inlineStr">
        <is>
          <t>Wanted scallop height (in)</t>
        </is>
      </c>
      <c r="B30" s="26" t="n">
        <v>0.0001</v>
      </c>
    </row>
    <row r="31">
      <c r="A31" s="3" t="inlineStr">
        <is>
          <t>Stepover for that height (in)</t>
        </is>
      </c>
      <c r="B31" s="27">
        <f>2*SQRT((B29/2)^2-(B29/2-B30)^2)</f>
        <v/>
      </c>
    </row>
    <row r="32">
      <c r="A32" t="inlineStr">
        <is>
          <t>Stepover on hand (in)</t>
        </is>
      </c>
      <c r="B32" s="7" t="n">
        <v>0.05</v>
      </c>
    </row>
    <row r="33">
      <c r="A33" t="inlineStr">
        <is>
          <t>Scallop height at that stepover (in)</t>
        </is>
      </c>
      <c r="B33" s="13">
        <f>B29/2-SQRT((B29/2)^2-(B32/2)^2)</f>
        <v/>
      </c>
    </row>
  </sheetData>
  <pageMargins left="0.75" right="0.75" top="1" bottom="1" header="0.5" footer="0.5"/>
  <headerFooter>
    <oddHeader>&amp;C&amp;9 H38 Quick Calc — Highway 38 Solutions</oddHeader>
    <oddFooter/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26" customWidth="1" min="5" max="5"/>
    <col width="15" customWidth="1" min="6" max="6"/>
  </cols>
  <sheetData>
    <row r="1">
      <c r="A1" s="1" t="inlineStr">
        <is>
          <t>GEOMETRY</t>
        </is>
      </c>
    </row>
    <row r="2">
      <c r="A2" s="2" t="inlineStr">
        <is>
          <t>H38 Quick Calc · Highway 38 Solutions — right triangles, bolt circles, sine bar, drill point and chamfer depth.</t>
        </is>
      </c>
    </row>
    <row r="4">
      <c r="A4" s="5" t="inlineStr">
        <is>
          <t>1 — RIGHT TRIANGLE — fill any two, the rest solve</t>
        </is>
      </c>
    </row>
    <row r="5">
      <c r="A5" t="inlineStr">
        <is>
          <t>Side a</t>
        </is>
      </c>
      <c r="B5" s="7" t="n">
        <v>3</v>
      </c>
      <c r="E5" s="2" t="inlineStr">
        <is>
          <t>Working: angle A if known (°)</t>
        </is>
      </c>
      <c r="F5">
        <f>IF(B8&lt;&gt;"",B8,IF(B9&lt;&gt;"",90-B9,""))</f>
        <v/>
      </c>
    </row>
    <row r="6">
      <c r="A6" t="inlineStr">
        <is>
          <t>Side b</t>
        </is>
      </c>
      <c r="B6" s="7" t="n">
        <v>4</v>
      </c>
    </row>
    <row r="7">
      <c r="A7" t="inlineStr">
        <is>
          <t>Hypotenuse c</t>
        </is>
      </c>
      <c r="B7" s="7" t="n"/>
    </row>
    <row r="8">
      <c r="A8" t="inlineStr">
        <is>
          <t>Angle A — opposite a (°)</t>
        </is>
      </c>
      <c r="B8" s="17" t="n"/>
    </row>
    <row r="9">
      <c r="A9" t="inlineStr">
        <is>
          <t>Angle B — opposite b (°)</t>
        </is>
      </c>
      <c r="B9" s="17" t="n"/>
    </row>
    <row r="10">
      <c r="A10" t="inlineStr">
        <is>
          <t>Side a</t>
        </is>
      </c>
      <c r="B10" s="10">
        <f>IF(B5&lt;&gt;"",B5,IF(AND(B6&lt;&gt;"",B7&lt;&gt;""),SQRT(B7^2-B6^2),IF(AND(B7&lt;&gt;"",$F$5&lt;&gt;""),B7*SIN(RADIANS($F$5)),IF(AND(B6&lt;&gt;"",$F$5&lt;&gt;""),B6*TAN(RADIANS($F$5)),""))))</f>
        <v/>
      </c>
    </row>
    <row r="11">
      <c r="A11" t="inlineStr">
        <is>
          <t>Side b</t>
        </is>
      </c>
      <c r="B11" s="10">
        <f>IF(B6&lt;&gt;"",B6,IF(AND(B5&lt;&gt;"",B7&lt;&gt;""),SQRT(B7^2-B5^2),IF(AND(B7&lt;&gt;"",$F$5&lt;&gt;""),B7*COS(RADIANS($F$5)),IF(AND(B5&lt;&gt;"",$F$5&lt;&gt;""),B5/TAN(RADIANS($F$5)),""))))</f>
        <v/>
      </c>
    </row>
    <row r="12">
      <c r="A12" t="inlineStr">
        <is>
          <t>Hypotenuse c</t>
        </is>
      </c>
      <c r="B12" s="10">
        <f>IF(B7&lt;&gt;"",B7,IF(AND(B5&lt;&gt;"",B6&lt;&gt;""),SQRT(B5^2+B6^2),IF(AND(B5&lt;&gt;"",$F$5&lt;&gt;""),B5/SIN(RADIANS($F$5)),IF(AND(B6&lt;&gt;"",$F$5&lt;&gt;""),B6/COS(RADIANS($F$5)),""))))</f>
        <v/>
      </c>
    </row>
    <row r="13">
      <c r="A13" t="inlineStr">
        <is>
          <t>Angle A (°)</t>
        </is>
      </c>
      <c r="B13" s="10">
        <f>IF(B8&lt;&gt;"",B8,IF(AND(B5&lt;&gt;"",B6&lt;&gt;""),DEGREES(ATAN2(B6,B5)),IF(AND(B5&lt;&gt;"",B7&lt;&gt;""),DEGREES(ASIN(B5/B7)),IF(AND(B6&lt;&gt;"",B7&lt;&gt;""),DEGREES(ACOS(B6/B7)),IF(B9&lt;&gt;"",90-B9,"")))))</f>
        <v/>
      </c>
    </row>
    <row r="14">
      <c r="A14" t="inlineStr">
        <is>
          <t>Angle B (°)</t>
        </is>
      </c>
      <c r="B14" s="10">
        <f>IF(B13&lt;&gt;"",90-B13,"")</f>
        <v/>
      </c>
    </row>
    <row r="16">
      <c r="A16" s="5" t="inlineStr">
        <is>
          <t>2 — BOLT CIRCLE</t>
        </is>
      </c>
    </row>
    <row r="17">
      <c r="A17" t="inlineStr">
        <is>
          <t>Circle diameter (in)</t>
        </is>
      </c>
      <c r="B17" s="7" t="n">
        <v>3</v>
      </c>
    </row>
    <row r="18">
      <c r="A18" t="inlineStr">
        <is>
          <t>Holes</t>
        </is>
      </c>
      <c r="B18" s="6" t="n">
        <v>6</v>
      </c>
    </row>
    <row r="19">
      <c r="A19" t="inlineStr">
        <is>
          <t>First hole angle (°)</t>
        </is>
      </c>
      <c r="B19" s="17" t="n">
        <v>0</v>
      </c>
    </row>
    <row r="20">
      <c r="A20" s="3" t="inlineStr">
        <is>
          <t>Hole</t>
        </is>
      </c>
      <c r="B20" s="3" t="inlineStr">
        <is>
          <t>Angle (°)</t>
        </is>
      </c>
      <c r="C20" s="3" t="inlineStr">
        <is>
          <t>X</t>
        </is>
      </c>
      <c r="D20" s="3" t="inlineStr">
        <is>
          <t>Y</t>
        </is>
      </c>
    </row>
    <row r="21">
      <c r="A21" t="n">
        <v>1</v>
      </c>
      <c r="B21" s="11">
        <f>IF($A21&lt;=B18,B19+($A21-1)*360/B18,"")</f>
        <v/>
      </c>
      <c r="C21" s="10">
        <f>IF($A21&lt;=B18,(B17/2)*COS(RADIANS($B21)),"")</f>
        <v/>
      </c>
      <c r="D21" s="10">
        <f>IF($A21&lt;=B18,(B17/2)*SIN(RADIANS($B21)),"")</f>
        <v/>
      </c>
    </row>
    <row r="22">
      <c r="A22" t="n">
        <v>2</v>
      </c>
      <c r="B22" s="11">
        <f>IF($A22&lt;=B18,B19+($A22-1)*360/B18,"")</f>
        <v/>
      </c>
      <c r="C22" s="10">
        <f>IF($A22&lt;=B18,(B17/2)*COS(RADIANS($B22)),"")</f>
        <v/>
      </c>
      <c r="D22" s="10">
        <f>IF($A22&lt;=B18,(B17/2)*SIN(RADIANS($B22)),"")</f>
        <v/>
      </c>
    </row>
    <row r="23">
      <c r="A23" t="n">
        <v>3</v>
      </c>
      <c r="B23" s="11">
        <f>IF($A23&lt;=B18,B19+($A23-1)*360/B18,"")</f>
        <v/>
      </c>
      <c r="C23" s="10">
        <f>IF($A23&lt;=B18,(B17/2)*COS(RADIANS($B23)),"")</f>
        <v/>
      </c>
      <c r="D23" s="10">
        <f>IF($A23&lt;=B18,(B17/2)*SIN(RADIANS($B23)),"")</f>
        <v/>
      </c>
    </row>
    <row r="24">
      <c r="A24" t="n">
        <v>4</v>
      </c>
      <c r="B24" s="11">
        <f>IF($A24&lt;=B18,B19+($A24-1)*360/B18,"")</f>
        <v/>
      </c>
      <c r="C24" s="10">
        <f>IF($A24&lt;=B18,(B17/2)*COS(RADIANS($B24)),"")</f>
        <v/>
      </c>
      <c r="D24" s="10">
        <f>IF($A24&lt;=B18,(B17/2)*SIN(RADIANS($B24)),"")</f>
        <v/>
      </c>
    </row>
    <row r="25">
      <c r="A25" t="n">
        <v>5</v>
      </c>
      <c r="B25" s="11">
        <f>IF($A25&lt;=B18,B19+($A25-1)*360/B18,"")</f>
        <v/>
      </c>
      <c r="C25" s="10">
        <f>IF($A25&lt;=B18,(B17/2)*COS(RADIANS($B25)),"")</f>
        <v/>
      </c>
      <c r="D25" s="10">
        <f>IF($A25&lt;=B18,(B17/2)*SIN(RADIANS($B25)),"")</f>
        <v/>
      </c>
    </row>
    <row r="26">
      <c r="A26" t="n">
        <v>6</v>
      </c>
      <c r="B26" s="11">
        <f>IF($A26&lt;=B18,B19+($A26-1)*360/B18,"")</f>
        <v/>
      </c>
      <c r="C26" s="10">
        <f>IF($A26&lt;=B18,(B17/2)*COS(RADIANS($B26)),"")</f>
        <v/>
      </c>
      <c r="D26" s="10">
        <f>IF($A26&lt;=B18,(B17/2)*SIN(RADIANS($B26)),"")</f>
        <v/>
      </c>
    </row>
    <row r="27">
      <c r="A27" t="n">
        <v>7</v>
      </c>
      <c r="B27" s="11">
        <f>IF($A27&lt;=B18,B19+($A27-1)*360/B18,"")</f>
        <v/>
      </c>
      <c r="C27" s="10">
        <f>IF($A27&lt;=B18,(B17/2)*COS(RADIANS($B27)),"")</f>
        <v/>
      </c>
      <c r="D27" s="10">
        <f>IF($A27&lt;=B18,(B17/2)*SIN(RADIANS($B27)),"")</f>
        <v/>
      </c>
    </row>
    <row r="28">
      <c r="A28" t="n">
        <v>8</v>
      </c>
      <c r="B28" s="11">
        <f>IF($A28&lt;=B18,B19+($A28-1)*360/B18,"")</f>
        <v/>
      </c>
      <c r="C28" s="10">
        <f>IF($A28&lt;=B18,(B17/2)*COS(RADIANS($B28)),"")</f>
        <v/>
      </c>
      <c r="D28" s="10">
        <f>IF($A28&lt;=B18,(B17/2)*SIN(RADIANS($B28)),"")</f>
        <v/>
      </c>
    </row>
    <row r="29">
      <c r="A29" t="n">
        <v>9</v>
      </c>
      <c r="B29" s="11">
        <f>IF($A29&lt;=B18,B19+($A29-1)*360/B18,"")</f>
        <v/>
      </c>
      <c r="C29" s="10">
        <f>IF($A29&lt;=B18,(B17/2)*COS(RADIANS($B29)),"")</f>
        <v/>
      </c>
      <c r="D29" s="10">
        <f>IF($A29&lt;=B18,(B17/2)*SIN(RADIANS($B29)),"")</f>
        <v/>
      </c>
    </row>
    <row r="30">
      <c r="A30" t="n">
        <v>10</v>
      </c>
      <c r="B30" s="11">
        <f>IF($A30&lt;=B18,B19+($A30-1)*360/B18,"")</f>
        <v/>
      </c>
      <c r="C30" s="10">
        <f>IF($A30&lt;=B18,(B17/2)*COS(RADIANS($B30)),"")</f>
        <v/>
      </c>
      <c r="D30" s="10">
        <f>IF($A30&lt;=B18,(B17/2)*SIN(RADIANS($B30)),"")</f>
        <v/>
      </c>
    </row>
    <row r="31">
      <c r="A31" t="n">
        <v>11</v>
      </c>
      <c r="B31" s="11">
        <f>IF($A31&lt;=B18,B19+($A31-1)*360/B18,"")</f>
        <v/>
      </c>
      <c r="C31" s="10">
        <f>IF($A31&lt;=B18,(B17/2)*COS(RADIANS($B31)),"")</f>
        <v/>
      </c>
      <c r="D31" s="10">
        <f>IF($A31&lt;=B18,(B17/2)*SIN(RADIANS($B31)),"")</f>
        <v/>
      </c>
    </row>
    <row r="32">
      <c r="A32" t="n">
        <v>12</v>
      </c>
      <c r="B32" s="11">
        <f>IF($A32&lt;=B18,B19+($A32-1)*360/B18,"")</f>
        <v/>
      </c>
      <c r="C32" s="10">
        <f>IF($A32&lt;=B18,(B17/2)*COS(RADIANS($B32)),"")</f>
        <v/>
      </c>
      <c r="D32" s="10">
        <f>IF($A32&lt;=B18,(B17/2)*SIN(RADIANS($B32)),"")</f>
        <v/>
      </c>
    </row>
    <row r="33">
      <c r="A33" t="n">
        <v>13</v>
      </c>
      <c r="B33" s="11">
        <f>IF($A33&lt;=B18,B19+($A33-1)*360/B18,"")</f>
        <v/>
      </c>
      <c r="C33" s="10">
        <f>IF($A33&lt;=B18,(B17/2)*COS(RADIANS($B33)),"")</f>
        <v/>
      </c>
      <c r="D33" s="10">
        <f>IF($A33&lt;=B18,(B17/2)*SIN(RADIANS($B33)),"")</f>
        <v/>
      </c>
    </row>
    <row r="34">
      <c r="A34" t="n">
        <v>14</v>
      </c>
      <c r="B34" s="11">
        <f>IF($A34&lt;=B18,B19+($A34-1)*360/B18,"")</f>
        <v/>
      </c>
      <c r="C34" s="10">
        <f>IF($A34&lt;=B18,(B17/2)*COS(RADIANS($B34)),"")</f>
        <v/>
      </c>
      <c r="D34" s="10">
        <f>IF($A34&lt;=B18,(B17/2)*SIN(RADIANS($B34)),"")</f>
        <v/>
      </c>
    </row>
    <row r="35">
      <c r="A35" t="n">
        <v>15</v>
      </c>
      <c r="B35" s="11">
        <f>IF($A35&lt;=B18,B19+($A35-1)*360/B18,"")</f>
        <v/>
      </c>
      <c r="C35" s="10">
        <f>IF($A35&lt;=B18,(B17/2)*COS(RADIANS($B35)),"")</f>
        <v/>
      </c>
      <c r="D35" s="10">
        <f>IF($A35&lt;=B18,(B17/2)*SIN(RADIANS($B35)),"")</f>
        <v/>
      </c>
    </row>
    <row r="36">
      <c r="A36" t="n">
        <v>16</v>
      </c>
      <c r="B36" s="11">
        <f>IF($A36&lt;=B18,B19+($A36-1)*360/B18,"")</f>
        <v/>
      </c>
      <c r="C36" s="10">
        <f>IF($A36&lt;=B18,(B17/2)*COS(RADIANS($B36)),"")</f>
        <v/>
      </c>
      <c r="D36" s="10">
        <f>IF($A36&lt;=B18,(B17/2)*SIN(RADIANS($B36)),"")</f>
        <v/>
      </c>
    </row>
    <row r="37">
      <c r="A37" t="n">
        <v>17</v>
      </c>
      <c r="B37" s="11">
        <f>IF($A37&lt;=B18,B19+($A37-1)*360/B18,"")</f>
        <v/>
      </c>
      <c r="C37" s="10">
        <f>IF($A37&lt;=B18,(B17/2)*COS(RADIANS($B37)),"")</f>
        <v/>
      </c>
      <c r="D37" s="10">
        <f>IF($A37&lt;=B18,(B17/2)*SIN(RADIANS($B37)),"")</f>
        <v/>
      </c>
    </row>
    <row r="38">
      <c r="A38" t="n">
        <v>18</v>
      </c>
      <c r="B38" s="11">
        <f>IF($A38&lt;=B18,B19+($A38-1)*360/B18,"")</f>
        <v/>
      </c>
      <c r="C38" s="10">
        <f>IF($A38&lt;=B18,(B17/2)*COS(RADIANS($B38)),"")</f>
        <v/>
      </c>
      <c r="D38" s="10">
        <f>IF($A38&lt;=B18,(B17/2)*SIN(RADIANS($B38)),"")</f>
        <v/>
      </c>
    </row>
    <row r="39">
      <c r="A39" t="n">
        <v>19</v>
      </c>
      <c r="B39" s="11">
        <f>IF($A39&lt;=B18,B19+($A39-1)*360/B18,"")</f>
        <v/>
      </c>
      <c r="C39" s="10">
        <f>IF($A39&lt;=B18,(B17/2)*COS(RADIANS($B39)),"")</f>
        <v/>
      </c>
      <c r="D39" s="10">
        <f>IF($A39&lt;=B18,(B17/2)*SIN(RADIANS($B39)),"")</f>
        <v/>
      </c>
    </row>
    <row r="40">
      <c r="A40" t="n">
        <v>20</v>
      </c>
      <c r="B40" s="11">
        <f>IF($A40&lt;=B18,B19+($A40-1)*360/B18,"")</f>
        <v/>
      </c>
      <c r="C40" s="10">
        <f>IF($A40&lt;=B18,(B17/2)*COS(RADIANS($B40)),"")</f>
        <v/>
      </c>
      <c r="D40" s="10">
        <f>IF($A40&lt;=B18,(B17/2)*SIN(RADIANS($B40)),"")</f>
        <v/>
      </c>
    </row>
    <row r="41">
      <c r="A41" t="n">
        <v>21</v>
      </c>
      <c r="B41" s="11">
        <f>IF($A41&lt;=B18,B19+($A41-1)*360/B18,"")</f>
        <v/>
      </c>
      <c r="C41" s="10">
        <f>IF($A41&lt;=B18,(B17/2)*COS(RADIANS($B41)),"")</f>
        <v/>
      </c>
      <c r="D41" s="10">
        <f>IF($A41&lt;=B18,(B17/2)*SIN(RADIANS($B41)),"")</f>
        <v/>
      </c>
    </row>
    <row r="42">
      <c r="A42" t="n">
        <v>22</v>
      </c>
      <c r="B42" s="11">
        <f>IF($A42&lt;=B18,B19+($A42-1)*360/B18,"")</f>
        <v/>
      </c>
      <c r="C42" s="10">
        <f>IF($A42&lt;=B18,(B17/2)*COS(RADIANS($B42)),"")</f>
        <v/>
      </c>
      <c r="D42" s="10">
        <f>IF($A42&lt;=B18,(B17/2)*SIN(RADIANS($B42)),"")</f>
        <v/>
      </c>
    </row>
    <row r="43">
      <c r="A43" t="n">
        <v>23</v>
      </c>
      <c r="B43" s="11">
        <f>IF($A43&lt;=B18,B19+($A43-1)*360/B18,"")</f>
        <v/>
      </c>
      <c r="C43" s="10">
        <f>IF($A43&lt;=B18,(B17/2)*COS(RADIANS($B43)),"")</f>
        <v/>
      </c>
      <c r="D43" s="10">
        <f>IF($A43&lt;=B18,(B17/2)*SIN(RADIANS($B43)),"")</f>
        <v/>
      </c>
    </row>
    <row r="44">
      <c r="A44" t="n">
        <v>24</v>
      </c>
      <c r="B44" s="11">
        <f>IF($A44&lt;=B18,B19+($A44-1)*360/B18,"")</f>
        <v/>
      </c>
      <c r="C44" s="10">
        <f>IF($A44&lt;=B18,(B17/2)*COS(RADIANS($B44)),"")</f>
        <v/>
      </c>
      <c r="D44" s="10">
        <f>IF($A44&lt;=B18,(B17/2)*SIN(RADIANS($B44)),"")</f>
        <v/>
      </c>
    </row>
    <row r="46">
      <c r="A46" s="5" t="inlineStr">
        <is>
          <t>3 — SINE BAR</t>
        </is>
      </c>
    </row>
    <row r="47">
      <c r="A47" t="inlineStr">
        <is>
          <t>Bar length (in)</t>
        </is>
      </c>
      <c r="B47" s="7" t="n">
        <v>5</v>
      </c>
    </row>
    <row r="48">
      <c r="A48" t="inlineStr">
        <is>
          <t>Angle (°)</t>
        </is>
      </c>
      <c r="B48" s="17" t="n">
        <v>30</v>
      </c>
    </row>
    <row r="49">
      <c r="A49" s="3" t="inlineStr">
        <is>
          <t>Stack height (in)</t>
        </is>
      </c>
      <c r="B49" s="20">
        <f>B47*SIN(RADIANS(B48))</f>
        <v/>
      </c>
    </row>
    <row r="50">
      <c r="A50" t="inlineStr">
        <is>
          <t>Stack on hand (in)</t>
        </is>
      </c>
      <c r="B50" s="7" t="n">
        <v>2.5</v>
      </c>
    </row>
    <row r="51">
      <c r="A51" t="inlineStr">
        <is>
          <t>Angle from stack (°)</t>
        </is>
      </c>
      <c r="B51" s="10">
        <f>DEGREES(ASIN(B50/B47))</f>
        <v/>
      </c>
    </row>
    <row r="53">
      <c r="A53" s="5" t="inlineStr">
        <is>
          <t>4 — DRILL POINT &amp; CHAMFER DEPTH</t>
        </is>
      </c>
    </row>
    <row r="54">
      <c r="A54" t="inlineStr">
        <is>
          <t>Drill diameter (in)</t>
        </is>
      </c>
      <c r="B54" s="7" t="n">
        <v>0.5</v>
      </c>
    </row>
    <row r="55">
      <c r="A55" t="inlineStr">
        <is>
          <t>Point angle (°)</t>
        </is>
      </c>
      <c r="B55" s="16" t="n">
        <v>118</v>
      </c>
    </row>
    <row r="56">
      <c r="A56" s="3" t="inlineStr">
        <is>
          <t>Drill point depth (in)</t>
        </is>
      </c>
      <c r="B56" s="20">
        <f>(B54/2)/TAN(RADIANS(B55/2))</f>
        <v/>
      </c>
    </row>
    <row r="57">
      <c r="A57" t="inlineStr">
        <is>
          <t>Chamfer from diameter (in)</t>
        </is>
      </c>
      <c r="B57" s="7" t="n">
        <v>0.25</v>
      </c>
    </row>
    <row r="58">
      <c r="A58" t="inlineStr">
        <is>
          <t>Chamfer to diameter (in)</t>
        </is>
      </c>
      <c r="B58" s="7" t="n">
        <v>0.35</v>
      </c>
    </row>
    <row r="59">
      <c r="A59" t="inlineStr">
        <is>
          <t>Chamfer included angle (°)</t>
        </is>
      </c>
      <c r="B59" s="16" t="n">
        <v>90</v>
      </c>
    </row>
    <row r="60">
      <c r="A60" s="3" t="inlineStr">
        <is>
          <t>Chamfer depth (in)</t>
        </is>
      </c>
      <c r="B60" s="20">
        <f>((B58-B57)/2)/TAN(RADIANS(B59/2))</f>
        <v/>
      </c>
    </row>
    <row r="62">
      <c r="A62" s="5" t="inlineStr">
        <is>
          <t>5 — TAPER SOLVER</t>
        </is>
      </c>
    </row>
    <row r="63">
      <c r="A63" t="inlineStr">
        <is>
          <t>Big diameter (in)</t>
        </is>
      </c>
      <c r="B63" s="7" t="n">
        <v>1</v>
      </c>
    </row>
    <row r="64">
      <c r="A64" t="inlineStr">
        <is>
          <t>Small diameter (in)</t>
        </is>
      </c>
      <c r="B64" s="7" t="n">
        <v>0.5</v>
      </c>
    </row>
    <row r="65">
      <c r="A65" t="inlineStr">
        <is>
          <t>Length of taper (in)</t>
        </is>
      </c>
      <c r="B65" s="7" t="n">
        <v>6</v>
      </c>
    </row>
    <row r="66">
      <c r="A66" t="inlineStr">
        <is>
          <t>Taper per inch (in/in)</t>
        </is>
      </c>
      <c r="B66" s="22">
        <f>(B63-B64)/B65</f>
        <v/>
      </c>
    </row>
    <row r="67">
      <c r="A67" s="3" t="inlineStr">
        <is>
          <t>Taper per foot (in/ft)</t>
        </is>
      </c>
      <c r="B67" s="20">
        <f>(B63-B64)/B65*12</f>
        <v/>
      </c>
    </row>
    <row r="68">
      <c r="A68" t="inlineStr">
        <is>
          <t>Included angle (°)</t>
        </is>
      </c>
      <c r="B68" s="11">
        <f>2*DEGREES(ATAN((B63-B64)/(2*B65)))</f>
        <v/>
      </c>
    </row>
    <row r="69">
      <c r="A69" t="inlineStr">
        <is>
          <t>Half angle (°)</t>
        </is>
      </c>
      <c r="B69" s="11">
        <f>DEGREES(ATAN((B63-B64)/(2*B65)))</f>
        <v/>
      </c>
    </row>
    <row r="70">
      <c r="A70" t="inlineStr">
        <is>
          <t>Taper per foot on hand (in/ft)</t>
        </is>
      </c>
      <c r="B70" s="7" t="n">
        <v>1</v>
      </c>
    </row>
    <row r="71">
      <c r="A71" t="inlineStr">
        <is>
          <t>Small end from big end at that TPF (in)</t>
        </is>
      </c>
      <c r="B71" s="10">
        <f>B63-B70/12*B65</f>
        <v/>
      </c>
    </row>
    <row r="72">
      <c r="A72" s="2" t="inlineStr">
        <is>
          <t>Taper per foot is how tapers are usually called out (e.g. Morse tapers ≈ 5/8 in/ft).</t>
        </is>
      </c>
    </row>
  </sheetData>
  <pageMargins left="0.75" right="0.75" top="1" bottom="1" header="0.5" footer="0.5"/>
  <headerFooter>
    <oddHeader>&amp;C&amp;9 H38 Quick Calc — Highway 38 Solutions</oddHeader>
    <oddFooter/>
    <evenHeader/>
    <evenFooter/>
    <firstHeader/>
    <firstFooter/>
  </headerFooter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30" customWidth="1" min="3" max="3"/>
    <col width="20" customWidth="1" min="8" max="8"/>
    <col width="12" customWidth="1" min="9" max="9"/>
  </cols>
  <sheetData>
    <row r="1">
      <c r="A1" s="1" t="inlineStr">
        <is>
          <t>PRESS FORCE</t>
        </is>
      </c>
    </row>
    <row r="2">
      <c r="A2" s="2" t="inlineStr">
        <is>
          <t>H38 Quick Calc · Highway 38 Solutions — cutting force from the workbook’s press notes: F = L × S × τ.</t>
        </is>
      </c>
    </row>
    <row r="4">
      <c r="A4" s="5" t="inlineStr">
        <is>
          <t>1 — PRESS FORCE</t>
        </is>
      </c>
      <c r="H4" s="3" t="inlineStr">
        <is>
          <t>Material</t>
        </is>
      </c>
      <c r="I4" s="3" t="inlineStr">
        <is>
          <t>Shear %</t>
        </is>
      </c>
    </row>
    <row r="5">
      <c r="A5" t="inlineStr">
        <is>
          <t>Cut length / perimeter (mm)</t>
        </is>
      </c>
      <c r="B5" s="12" t="n">
        <v>100</v>
      </c>
      <c r="H5" t="inlineStr">
        <is>
          <t>Aluminum</t>
        </is>
      </c>
      <c r="I5" t="n">
        <v>50</v>
      </c>
    </row>
    <row r="6">
      <c r="A6" t="inlineStr">
        <is>
          <t>Stock thickness (mm)</t>
        </is>
      </c>
      <c r="B6" s="17" t="n">
        <v>2</v>
      </c>
      <c r="H6" t="inlineStr">
        <is>
          <t>Cold-rolled steel</t>
        </is>
      </c>
      <c r="I6" t="n">
        <v>80</v>
      </c>
    </row>
    <row r="7">
      <c r="A7" t="inlineStr">
        <is>
          <t>Material tensile strength (MPa)</t>
        </is>
      </c>
      <c r="B7" s="6" t="n">
        <v>400</v>
      </c>
      <c r="H7" t="inlineStr">
        <is>
          <t>Stainless</t>
        </is>
      </c>
      <c r="I7" t="n">
        <v>90</v>
      </c>
    </row>
    <row r="8">
      <c r="A8" t="inlineStr">
        <is>
          <t>Material (Aluminum / Cold-rolled steel / Stainless)</t>
        </is>
      </c>
      <c r="B8" s="24" t="inlineStr">
        <is>
          <t>Cold-rolled steel</t>
        </is>
      </c>
    </row>
    <row r="9">
      <c r="A9" t="inlineStr">
        <is>
          <t>Shear strength — % of tensile</t>
        </is>
      </c>
      <c r="B9" s="18">
        <f>INDEX($I$5:$I$7,MATCH(B8,$H$5:$H$7,0))</f>
        <v/>
      </c>
      <c r="C9" s="2" t="inlineStr">
        <is>
          <t>%</t>
        </is>
      </c>
    </row>
    <row r="10">
      <c r="A10" t="inlineStr">
        <is>
          <t>Shear strength τ (MPa)</t>
        </is>
      </c>
      <c r="B10" s="15">
        <f>B7*B9/100</f>
        <v/>
      </c>
    </row>
    <row r="11">
      <c r="A11" t="inlineStr">
        <is>
          <t>Stripping allowance (% of cutting)</t>
        </is>
      </c>
      <c r="B11" s="16" t="n">
        <v>15</v>
      </c>
    </row>
    <row r="12">
      <c r="A12" s="3" t="inlineStr">
        <is>
          <t>Cutting force (N)</t>
        </is>
      </c>
      <c r="B12" s="8">
        <f>B5*B6*B10</f>
        <v/>
      </c>
    </row>
    <row r="13">
      <c r="A13" t="inlineStr">
        <is>
          <t>Cutting force (kN)</t>
        </is>
      </c>
      <c r="B13" s="9">
        <f>B12/1000</f>
        <v/>
      </c>
    </row>
    <row r="14">
      <c r="A14" s="3" t="inlineStr">
        <is>
          <t>Cutting force (US tons)</t>
        </is>
      </c>
      <c r="B14" s="21">
        <f>B12/8896.44</f>
        <v/>
      </c>
    </row>
    <row r="15">
      <c r="A15" t="inlineStr">
        <is>
          <t>Stripping force (US tons)</t>
        </is>
      </c>
      <c r="B15" s="11">
        <f>B14*B11/100</f>
        <v/>
      </c>
    </row>
    <row r="16">
      <c r="A16" t="inlineStr">
        <is>
          <t>Ejection force (US tons, ≈ 10%)</t>
        </is>
      </c>
      <c r="B16" s="11">
        <f>B14*0.1</f>
        <v/>
      </c>
    </row>
    <row r="17">
      <c r="A17" s="3" t="inlineStr">
        <is>
          <t>Total — cutting + stripping (US tons)</t>
        </is>
      </c>
      <c r="B17" s="21">
        <f>B14+B15</f>
        <v/>
      </c>
    </row>
    <row r="19">
      <c r="A19" s="5" t="inlineStr">
        <is>
          <t>2 — SPRING DEFLECTION (workbook rule)</t>
        </is>
      </c>
    </row>
    <row r="20">
      <c r="A20" t="inlineStr">
        <is>
          <t>Stock thickness (mm)</t>
        </is>
      </c>
      <c r="B20" s="17" t="n">
        <v>2</v>
      </c>
    </row>
    <row r="21">
      <c r="A21" t="inlineStr">
        <is>
          <t>Multiplier (3–4)</t>
        </is>
      </c>
      <c r="B21" s="12" t="n">
        <v>3.5</v>
      </c>
    </row>
    <row r="22">
      <c r="A22" s="3" t="inlineStr">
        <is>
          <t>Deflection Y (mm)</t>
        </is>
      </c>
      <c r="B22" s="25">
        <f>B21*(B20+2)</f>
        <v/>
      </c>
    </row>
    <row r="23">
      <c r="A23" s="2" t="inlineStr">
        <is>
          <t>Y = (3 to 4) × (t + 2) mm, from the workbook’s press notes.</t>
        </is>
      </c>
    </row>
  </sheetData>
  <pageMargins left="0.75" right="0.75" top="1" bottom="1" header="0.5" footer="0.5"/>
  <headerFooter>
    <oddHeader>&amp;C&amp;9 H38 Quick Calc — Highway 38 Solutions</oddHeader>
    <oddFooter/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WELDING</t>
        </is>
      </c>
    </row>
    <row r="2">
      <c r="A2" s="2" t="inlineStr">
        <is>
          <t>H38 Quick Calc · Highway 38 Solutions — fillet size, heat input, and MIG / TIG / stick starting points.</t>
        </is>
      </c>
    </row>
    <row r="4">
      <c r="A4" s="5" t="inlineStr">
        <is>
          <t>1 — FILLET WELD — LEG ⇄ THROAT</t>
        </is>
      </c>
    </row>
    <row r="5">
      <c r="A5" s="19" t="inlineStr">
        <is>
          <t>Inch</t>
        </is>
      </c>
    </row>
    <row r="6">
      <c r="A6" t="inlineStr">
        <is>
          <t>Leg size (in)</t>
        </is>
      </c>
      <c r="B6" s="7" t="n">
        <v>0.25</v>
      </c>
    </row>
    <row r="7">
      <c r="A7" s="3" t="inlineStr">
        <is>
          <t>Throat (in)</t>
        </is>
      </c>
      <c r="B7" s="20">
        <f>B6*0.7071</f>
        <v/>
      </c>
    </row>
    <row r="8">
      <c r="A8" t="inlineStr">
        <is>
          <t>Wanted throat (in)</t>
        </is>
      </c>
      <c r="B8" s="7" t="n">
        <v>0.1768</v>
      </c>
    </row>
    <row r="9">
      <c r="A9" s="3" t="inlineStr">
        <is>
          <t>Leg size needed (in)</t>
        </is>
      </c>
      <c r="B9" s="20">
        <f>B8/0.7071</f>
        <v/>
      </c>
    </row>
    <row r="10">
      <c r="A10" s="19" t="inlineStr">
        <is>
          <t>Millimeters</t>
        </is>
      </c>
    </row>
    <row r="11">
      <c r="A11" t="inlineStr">
        <is>
          <t>Leg size (mm)</t>
        </is>
      </c>
      <c r="B11" s="17" t="n">
        <v>6</v>
      </c>
    </row>
    <row r="12">
      <c r="A12" s="3" t="inlineStr">
        <is>
          <t>Throat (mm)</t>
        </is>
      </c>
      <c r="B12" s="21">
        <f>B11*0.7071</f>
        <v/>
      </c>
    </row>
    <row r="13">
      <c r="A13" t="inlineStr">
        <is>
          <t>Wanted throat (mm)</t>
        </is>
      </c>
      <c r="B13" s="17" t="n">
        <v>4.24</v>
      </c>
    </row>
    <row r="14">
      <c r="A14" s="3" t="inlineStr">
        <is>
          <t>Leg size needed (mm)</t>
        </is>
      </c>
      <c r="B14" s="21">
        <f>B13/0.7071</f>
        <v/>
      </c>
    </row>
    <row r="15">
      <c r="A15" s="2" t="inlineStr">
        <is>
          <t>Throat = leg × 0.7071 (sin 45°) — the theoretical throat of an equal-leg fillet with a flat face. A convex or concave face changes the effective throat.</t>
        </is>
      </c>
    </row>
    <row r="17">
      <c r="A17" s="5" t="inlineStr">
        <is>
          <t>2 — HEAT INPUT</t>
        </is>
      </c>
    </row>
    <row r="18">
      <c r="A18" t="inlineStr">
        <is>
          <t>Voltage (V)</t>
        </is>
      </c>
      <c r="B18" s="16" t="n">
        <v>24</v>
      </c>
    </row>
    <row r="19">
      <c r="A19" t="inlineStr">
        <is>
          <t>Current (A)</t>
        </is>
      </c>
      <c r="B19" s="6" t="n">
        <v>180</v>
      </c>
    </row>
    <row r="20">
      <c r="A20" t="inlineStr">
        <is>
          <t>Travel speed (in/min)</t>
        </is>
      </c>
      <c r="B20" s="16" t="n">
        <v>10</v>
      </c>
    </row>
    <row r="21">
      <c r="A21" s="3" t="inlineStr">
        <is>
          <t>Heat input (J/in)</t>
        </is>
      </c>
      <c r="B21" s="8">
        <f>B18*B19*60/B20</f>
        <v/>
      </c>
    </row>
    <row r="22">
      <c r="A22" t="inlineStr">
        <is>
          <t>Heat input (kJ/in)</t>
        </is>
      </c>
      <c r="B22" s="9">
        <f>B21/1000</f>
        <v/>
      </c>
    </row>
    <row r="23">
      <c r="A23" t="inlineStr">
        <is>
          <t>Travel speed (mm/min)</t>
        </is>
      </c>
      <c r="B23" s="6" t="n">
        <v>250</v>
      </c>
    </row>
    <row r="24">
      <c r="A24" t="inlineStr">
        <is>
          <t>Heat input (kJ/mm)</t>
        </is>
      </c>
      <c r="B24" s="10">
        <f>B18*B19*60/(B23*1000)</f>
        <v/>
      </c>
    </row>
    <row r="25">
      <c r="A25" s="2" t="inlineStr">
        <is>
          <t>Heat input = volts × amps × 60 ÷ travel speed. It ignores arc efficiency — use it to compare settings and procedures; it is the same formula the welding codes qualify by. (10 in/min ≈ 254 mm/min.)</t>
        </is>
      </c>
    </row>
    <row r="27">
      <c r="A27" s="5" t="inlineStr">
        <is>
          <t>3 — MIG STARTING SETTINGS — STARTING POINTS — SET BY TEST BEAD</t>
        </is>
      </c>
    </row>
    <row r="28">
      <c r="A28" s="3" t="inlineStr">
        <is>
          <t>Thickness</t>
        </is>
      </c>
      <c r="B28" s="3" t="inlineStr">
        <is>
          <t>Volts (.030″ wire)</t>
        </is>
      </c>
      <c r="C28" s="3" t="inlineStr">
        <is>
          <t>Wire feed (.030″)</t>
        </is>
      </c>
      <c r="D28" s="3" t="inlineStr">
        <is>
          <t>Volts (.035″ wire)</t>
        </is>
      </c>
      <c r="E28" s="3" t="inlineStr">
        <is>
          <t>Wire feed (.035″)</t>
        </is>
      </c>
    </row>
    <row r="29">
      <c r="A29" t="inlineStr">
        <is>
          <t>18 ga (0.048″)</t>
        </is>
      </c>
      <c r="B29" s="15" t="n">
        <v>16.3</v>
      </c>
      <c r="C29" s="18" t="n">
        <v>115</v>
      </c>
      <c r="D29" s="15" t="n">
        <v>15.8</v>
      </c>
      <c r="E29" s="18" t="n">
        <v>120</v>
      </c>
    </row>
    <row r="30">
      <c r="A30" t="inlineStr">
        <is>
          <t>14 ga (0.075″)</t>
        </is>
      </c>
      <c r="B30" s="15" t="n">
        <v>17.3</v>
      </c>
      <c r="C30" s="18" t="n">
        <v>200</v>
      </c>
      <c r="D30" s="15" t="n">
        <v>16.5</v>
      </c>
      <c r="E30" s="18" t="n">
        <v>190</v>
      </c>
    </row>
    <row r="31">
      <c r="A31" t="inlineStr">
        <is>
          <t>1/8″ (0.125″)</t>
        </is>
      </c>
      <c r="B31" s="15" t="n">
        <v>18</v>
      </c>
      <c r="C31" s="18" t="n">
        <v>250</v>
      </c>
      <c r="D31" s="15" t="n">
        <v>17.4</v>
      </c>
      <c r="E31" s="18" t="n">
        <v>230</v>
      </c>
    </row>
    <row r="32">
      <c r="A32" t="inlineStr">
        <is>
          <t>3/16″ (0.188″)</t>
        </is>
      </c>
      <c r="B32" s="15" t="n">
        <v>19</v>
      </c>
      <c r="C32" s="18" t="n">
        <v>290</v>
      </c>
      <c r="D32" s="15" t="n">
        <v>18.4</v>
      </c>
      <c r="E32" s="18" t="n">
        <v>265</v>
      </c>
    </row>
    <row r="33">
      <c r="A33" t="inlineStr">
        <is>
          <t>1/4″ (0.250″)</t>
        </is>
      </c>
      <c r="B33" s="15" t="n">
        <v>21</v>
      </c>
      <c r="C33" s="18" t="n">
        <v>400</v>
      </c>
      <c r="D33" s="15" t="n">
        <v>21</v>
      </c>
      <c r="E33" s="18" t="n">
        <v>375</v>
      </c>
    </row>
    <row r="34">
      <c r="A34" t="inlineStr">
        <is>
          <t>3/8″ (0.375″)</t>
        </is>
      </c>
      <c r="B34" s="15" t="n">
        <v>24.3</v>
      </c>
      <c r="C34" s="18" t="n">
        <v>500</v>
      </c>
      <c r="D34" s="15" t="n">
        <v>26</v>
      </c>
      <c r="E34" s="18" t="n">
        <v>475</v>
      </c>
    </row>
    <row r="35">
      <c r="A35" s="2" t="inlineStr">
        <is>
          <t>Mild steel, ER70S-6 solid wire on C25 (75% argon / 25% CO₂), flat position, gas at 35 CFH. Values are Miller’s published parameter choices — start there, then set by test bead on scrap of the same thickness.</t>
        </is>
      </c>
    </row>
    <row r="36">
      <c r="A36" s="2" t="inlineStr">
        <is>
          <t>Wire feed is inches per minute (IPM). There is no 1/16″ row: Miller’s chart brackets it with the 18 ga and 14 ga rows — start from 14 ga and back off. On 3/8″, Miller also lists .045″ wire at 28.0 V / 300 IPM, and thick joints usually want more than one pass.</t>
        </is>
      </c>
    </row>
    <row r="38">
      <c r="A38" s="5" t="inlineStr">
        <is>
          <t>4 — TIG STARTING AMPS — RULE OF THUMB (STEEL)</t>
        </is>
      </c>
    </row>
    <row r="39">
      <c r="A39" s="3" t="inlineStr">
        <is>
          <t>Thickness</t>
        </is>
      </c>
      <c r="B39" s="3" t="inlineStr">
        <is>
          <t>Decimal (in)</t>
        </is>
      </c>
      <c r="C39" s="3" t="inlineStr">
        <is>
          <t>Starting amps</t>
        </is>
      </c>
    </row>
    <row r="40">
      <c r="A40" t="inlineStr">
        <is>
          <t>1/32″</t>
        </is>
      </c>
      <c r="B40" s="10" t="n">
        <v>0.03125</v>
      </c>
      <c r="C40" s="18">
        <f>ROUND($B40*1000,0)</f>
        <v/>
      </c>
    </row>
    <row r="41">
      <c r="A41" t="inlineStr">
        <is>
          <t>1/16″</t>
        </is>
      </c>
      <c r="B41" s="10" t="n">
        <v>0.0625</v>
      </c>
      <c r="C41" s="18">
        <f>ROUND($B41*1000,0)</f>
        <v/>
      </c>
    </row>
    <row r="42">
      <c r="A42" t="inlineStr">
        <is>
          <t>3/32″</t>
        </is>
      </c>
      <c r="B42" s="10" t="n">
        <v>0.09375</v>
      </c>
      <c r="C42" s="18">
        <f>ROUND($B42*1000,0)</f>
        <v/>
      </c>
    </row>
    <row r="43">
      <c r="A43" t="inlineStr">
        <is>
          <t>1/8″</t>
        </is>
      </c>
      <c r="B43" s="10" t="n">
        <v>0.125</v>
      </c>
      <c r="C43" s="18">
        <f>ROUND($B43*1000,0)</f>
        <v/>
      </c>
    </row>
    <row r="44">
      <c r="A44" t="inlineStr">
        <is>
          <t>5/32″</t>
        </is>
      </c>
      <c r="B44" s="10" t="n">
        <v>0.15625</v>
      </c>
      <c r="C44" s="18">
        <f>ROUND($B44*1000,0)</f>
        <v/>
      </c>
    </row>
    <row r="45">
      <c r="A45" t="inlineStr">
        <is>
          <t>3/16″</t>
        </is>
      </c>
      <c r="B45" s="10" t="n">
        <v>0.1875</v>
      </c>
      <c r="C45" s="18">
        <f>ROUND($B45*1000,0)</f>
        <v/>
      </c>
    </row>
    <row r="46">
      <c r="A46" t="inlineStr">
        <is>
          <t>1/4″</t>
        </is>
      </c>
      <c r="B46" s="10" t="n">
        <v>0.25</v>
      </c>
      <c r="C46" s="18">
        <f>ROUND($B46*1000,0)</f>
        <v/>
      </c>
    </row>
    <row r="47">
      <c r="A47" t="inlineStr">
        <is>
          <t>5/16″</t>
        </is>
      </c>
      <c r="B47" s="10" t="n">
        <v>0.3125</v>
      </c>
      <c r="C47" s="18">
        <f>ROUND($B47*1000,0)</f>
        <v/>
      </c>
    </row>
    <row r="48">
      <c r="A48" t="inlineStr">
        <is>
          <t>3/8″</t>
        </is>
      </c>
      <c r="B48" s="10" t="n">
        <v>0.375</v>
      </c>
      <c r="C48" s="18">
        <f>ROUND($B48*1000,0)</f>
        <v/>
      </c>
    </row>
    <row r="49">
      <c r="A49" s="2" t="inlineStr">
        <is>
          <t>The shop rule of thumb for mild steel: about 1 amp for every 0.001″ of thickness. The amps column is that rule computed live (thickness × 1000) — a starting point for a flat butt weld, not a measured chart.</t>
        </is>
      </c>
    </row>
    <row r="50">
      <c r="A50" s="2" t="inlineStr">
        <is>
          <t>Stainless holds its heat (low thermal conductivity) — start roughly 10% lower and watch the heat tint. Aluminum pulls heat away fast — start roughly 25–40% higher, on AC, and thick aluminum may want preheat.</t>
        </is>
      </c>
    </row>
    <row r="52">
      <c r="A52" s="5" t="inlineStr">
        <is>
          <t>5 — STICK ELECTRODES — READING THE CODE (AWS A5.1)</t>
        </is>
      </c>
    </row>
    <row r="53">
      <c r="A53" s="19" t="inlineStr">
        <is>
          <t>E7018 taken apart</t>
        </is>
      </c>
    </row>
    <row r="54">
      <c r="A54" t="inlineStr">
        <is>
          <t>E</t>
        </is>
      </c>
      <c r="B54" t="inlineStr">
        <is>
          <t>Electrode — an arc-welding (SMAW) stick rod</t>
        </is>
      </c>
    </row>
    <row r="55">
      <c r="A55" t="inlineStr">
        <is>
          <t>70</t>
        </is>
      </c>
      <c r="B55" t="inlineStr">
        <is>
          <t>70,000 psi (70 ksi) minimum tensile strength of the weld metal</t>
        </is>
      </c>
    </row>
    <row r="56">
      <c r="A56" t="inlineStr">
        <is>
          <t>1</t>
        </is>
      </c>
      <c r="B56" t="inlineStr">
        <is>
          <t>Position — welds in all positions: flat, horizontal, vertical and overhead. (2 = flat position and horizontal fillets only; 4 also allows vertical-down.)</t>
        </is>
      </c>
    </row>
    <row r="57">
      <c r="A57" t="inlineStr">
        <is>
          <t>8</t>
        </is>
      </c>
      <c r="B57" t="inlineStr">
        <is>
          <t>Coating &amp; current — low-hydrogen potassium with iron powder; runs on AC or DCEP. Low-hydrogen rods live in a rod oven — a damp low-hydrogen rod can put hydrogen cracks in the weld.</t>
        </is>
      </c>
    </row>
    <row r="58">
      <c r="A58" s="19" t="inlineStr">
        <is>
          <t>Common electrodes</t>
        </is>
      </c>
    </row>
    <row r="59">
      <c r="A59" s="3" t="inlineStr">
        <is>
          <t>Electrode</t>
        </is>
      </c>
      <c r="B59" s="3" t="inlineStr">
        <is>
          <t>Tensile</t>
        </is>
      </c>
      <c r="C59" s="3" t="inlineStr">
        <is>
          <t>Positions</t>
        </is>
      </c>
      <c r="D59" s="3" t="inlineStr">
        <is>
          <t>Current</t>
        </is>
      </c>
      <c r="E59" s="3" t="inlineStr">
        <is>
          <t>Character</t>
        </is>
      </c>
    </row>
    <row r="60">
      <c r="A60" t="inlineStr">
        <is>
          <t>E6010</t>
        </is>
      </c>
      <c r="B60" t="inlineStr">
        <is>
          <t>60 ksi</t>
        </is>
      </c>
      <c r="C60" t="inlineStr">
        <is>
          <t>All</t>
        </is>
      </c>
      <c r="D60" t="inlineStr">
        <is>
          <t>DCEP only</t>
        </is>
      </c>
      <c r="E60" t="inlineStr">
        <is>
          <t>Cellulose rod — deep-digging, fast-freezing arc. The pipe welder’s root-pass rod; also bites through rust and paint. Spattery, thin slag.</t>
        </is>
      </c>
    </row>
    <row r="61">
      <c r="A61" t="inlineStr">
        <is>
          <t>E6011</t>
        </is>
      </c>
      <c r="B61" t="inlineStr">
        <is>
          <t>60 ksi</t>
        </is>
      </c>
      <c r="C61" t="inlineStr">
        <is>
          <t>All</t>
        </is>
      </c>
      <c r="D61" t="inlineStr">
        <is>
          <t>AC or DCEP</t>
        </is>
      </c>
      <c r="E61" t="inlineStr">
        <is>
          <t>The 6010-style digging arc that also runs on AC — the farm and shop repair rod for rusty, painted metal when only an AC buzz box is handy.</t>
        </is>
      </c>
    </row>
    <row r="62">
      <c r="A62" t="inlineStr">
        <is>
          <t>E6013</t>
        </is>
      </c>
      <c r="B62" t="inlineStr">
        <is>
          <t>60 ksi</t>
        </is>
      </c>
      <c r="C62" t="inlineStr">
        <is>
          <t>All</t>
        </is>
      </c>
      <c r="D62" t="inlineStr">
        <is>
          <t>AC, DCEP or DCEN</t>
        </is>
      </c>
      <c r="E62" t="inlineStr">
        <is>
          <t>Titania (rutile) rod — soft arc, light penetration, smooth flat bead. Sheet metal and light fabrication; easy to strike and restart.</t>
        </is>
      </c>
    </row>
    <row r="63">
      <c r="A63" t="inlineStr">
        <is>
          <t>E7014</t>
        </is>
      </c>
      <c r="B63" t="inlineStr">
        <is>
          <t>70 ksi</t>
        </is>
      </c>
      <c r="C63" t="inlineStr">
        <is>
          <t>All</t>
        </is>
      </c>
      <c r="D63" t="inlineStr">
        <is>
          <t>AC, DCEP or DCEN</t>
        </is>
      </c>
      <c r="E63" t="inlineStr">
        <is>
          <t>Iron-powder titania — fast fill, smooth bead, slag that lifts easily. General fabrication where the bead has to look good.</t>
        </is>
      </c>
    </row>
    <row r="64">
      <c r="A64" t="inlineStr">
        <is>
          <t>E7018</t>
        </is>
      </c>
      <c r="B64" t="inlineStr">
        <is>
          <t>70 ksi</t>
        </is>
      </c>
      <c r="C64" t="inlineStr">
        <is>
          <t>All</t>
        </is>
      </c>
      <c r="D64" t="inlineStr">
        <is>
          <t>AC or DCEP</t>
        </is>
      </c>
      <c r="E64" t="inlineStr">
        <is>
          <t>Low-hydrogen iron powder — strong, ductile welds for structural work and restrained joints. Keep the rods dry (see the 8 above).</t>
        </is>
      </c>
    </row>
    <row r="65">
      <c r="A65" s="2" t="inlineStr">
        <is>
          <t>Classification facts per AWS A5.1. “Character” is shop shorthand — the rod maker’s data sheet governs for code work.</t>
        </is>
      </c>
    </row>
    <row r="67">
      <c r="A67" s="5" t="inlineStr">
        <is>
          <t>6 — WELD SYMBOLS — THE BASIC SET (AWS A2.4)</t>
        </is>
      </c>
    </row>
    <row r="68">
      <c r="A68" s="3" t="inlineStr">
        <is>
          <t>Weld</t>
        </is>
      </c>
      <c r="B68" s="3" t="inlineStr">
        <is>
          <t>Symbol</t>
        </is>
      </c>
      <c r="C68" s="3" t="inlineStr">
        <is>
          <t>What it looks like — and means</t>
        </is>
      </c>
    </row>
    <row r="69">
      <c r="A69" t="inlineStr">
        <is>
          <t>Fillet</t>
        </is>
      </c>
      <c r="B69" t="inlineStr">
        <is>
          <t>△</t>
        </is>
      </c>
      <c r="C69" t="inlineStr">
        <is>
          <t>A right triangle standing on the reference line, straight leg toward the arrow end. The weld size is written to the LEFT of the symbol; length (and pitch, for stitch welds) to the RIGHT.</t>
        </is>
      </c>
    </row>
    <row r="70">
      <c r="A70" t="inlineStr">
        <is>
          <t>Square groove</t>
        </is>
      </c>
      <c r="B70" t="inlineStr">
        <is>
          <t>||</t>
        </is>
      </c>
      <c r="C70" t="inlineStr">
        <is>
          <t>Two short upright strokes side by side — both edges square, no bevel. A root opening (gap), if any, is written between the strokes.</t>
        </is>
      </c>
    </row>
    <row r="71">
      <c r="A71" t="inlineStr">
        <is>
          <t>V groove</t>
        </is>
      </c>
      <c r="B71" t="inlineStr">
        <is>
          <t>V</t>
        </is>
      </c>
      <c r="C71" t="inlineStr">
        <is>
          <t>The letter V — both edges beveled to meet in a V. The groove angle is written inside the V, the root opening at its base.</t>
        </is>
      </c>
    </row>
    <row r="72">
      <c r="A72" t="inlineStr">
        <is>
          <t>Bevel groove</t>
        </is>
      </c>
      <c r="B72" t="inlineStr">
        <is>
          <t>half a V</t>
        </is>
      </c>
      <c r="C72" t="inlineStr">
        <is>
          <t>Half of a V — one edge beveled, the other left square (the upright stroke). Only one side of the joint is prepared.</t>
        </is>
      </c>
    </row>
    <row r="73">
      <c r="A73" t="inlineStr">
        <is>
          <t>U groove</t>
        </is>
      </c>
      <c r="B73" t="inlineStr">
        <is>
          <t>U</t>
        </is>
      </c>
      <c r="C73" t="inlineStr">
        <is>
          <t>The letter U — both edges dished out to a curve. Used on thicker plate: it reaches the root with less filler metal than a V.</t>
        </is>
      </c>
    </row>
    <row r="74">
      <c r="A74" t="inlineStr">
        <is>
          <t>J groove</t>
        </is>
      </c>
      <c r="B74" t="inlineStr">
        <is>
          <t>J</t>
        </is>
      </c>
      <c r="C74" t="inlineStr">
        <is>
          <t>The letter J — one edge dished, the other square. The thick-plate partner of the bevel groove.</t>
        </is>
      </c>
    </row>
    <row r="75">
      <c r="A75" t="inlineStr">
        <is>
          <t>Plug / slot</t>
        </is>
      </c>
      <c r="B75" t="inlineStr">
        <is>
          <t>▭</t>
        </is>
      </c>
      <c r="C75" t="inlineStr">
        <is>
          <t>A flat rectangle lying on the line — fill a round hole (plug weld) or an elongated hole (slot weld) with weld metal. Hole size is written to the left.</t>
        </is>
      </c>
    </row>
    <row r="76">
      <c r="A76" t="inlineStr">
        <is>
          <t>Backing</t>
        </is>
      </c>
      <c r="B76" t="inlineStr">
        <is>
          <t>▭, far side</t>
        </is>
      </c>
      <c r="C76" t="inlineStr">
        <is>
          <t>An open rectangle drawn on the FAR side of the reference line — a backing bar or ring sits under the joint. The letter R inside it means the backing comes off after welding.</t>
        </is>
      </c>
    </row>
    <row r="77">
      <c r="A77" t="inlineStr">
        <is>
          <t>Melt-through</t>
        </is>
      </c>
      <c r="B77" t="inlineStr">
        <is>
          <t>half-round</t>
        </is>
      </c>
      <c r="C77" t="inlineStr">
        <is>
          <t>A solid half-circle (a hump) on the FAR side of the line — the weld must melt all the way through and leave a reinforced bead showing on the back side.</t>
        </is>
      </c>
    </row>
    <row r="78">
      <c r="A78" s="2" t="inlineStr">
        <is>
          <t>Every symbol sits on a horizontal reference line, and the arrow from it touches the joint. A symbol drawn BELOW the line is for the ARROW side — the side the arrow points at; a symbol ABOVE the line is for the OTHER side.</t>
        </is>
      </c>
    </row>
    <row r="79">
      <c r="A79" s="2" t="inlineStr">
        <is>
          <t>A circle where the arrow bends means weld all around; a flag at that bend means a field weld (made on site, not in the shop). The tail at the other end of the line carries notes — process, electrode, spec.</t>
        </is>
      </c>
    </row>
    <row r="80">
      <c r="A80" s="2" t="inlineStr">
        <is>
          <t>Symbol shapes here are described in words on purpose — use AWS A2.4 for drawing-exact symbol geometry.</t>
        </is>
      </c>
    </row>
  </sheetData>
  <pageMargins left="0.75" right="0.75" top="1" bottom="1" header="0.5" footer="0.5"/>
  <headerFooter>
    <oddHeader>&amp;C&amp;9 H38 Quick Calc — Highway 38 Solutions</oddHeader>
    <oddFooter/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30" customWidth="1" min="3" max="3"/>
    <col width="10" customWidth="1" min="8" max="8"/>
    <col width="10" customWidth="1" min="9" max="9"/>
  </cols>
  <sheetData>
    <row r="1">
      <c r="A1" s="1" t="inlineStr">
        <is>
          <t>CONVERT</t>
        </is>
      </c>
    </row>
    <row r="2">
      <c r="A2" s="2" t="inlineStr">
        <is>
          <t>H38 Quick Calc · Highway 38 Solutions — fractions, units, hardness (ASTM E140), finish, torque and knurl.</t>
        </is>
      </c>
    </row>
    <row r="4">
      <c r="A4" s="5" t="inlineStr">
        <is>
          <t>1 — FRACTION ⇄ DECIMAL ⇄ MM</t>
        </is>
      </c>
      <c r="H4" s="3" t="inlineStr">
        <is>
          <t>HRC</t>
        </is>
      </c>
      <c r="I4" s="3" t="inlineStr">
        <is>
          <t>HBW</t>
        </is>
      </c>
    </row>
    <row r="5">
      <c r="A5" t="inlineStr">
        <is>
          <t>Whole part</t>
        </is>
      </c>
      <c r="B5" s="6" t="n">
        <v>1</v>
      </c>
      <c r="H5" t="n">
        <v>20</v>
      </c>
      <c r="I5" t="n">
        <v>226</v>
      </c>
    </row>
    <row r="6">
      <c r="A6" t="inlineStr">
        <is>
          <t>Numerator</t>
        </is>
      </c>
      <c r="B6" s="6" t="n">
        <v>3</v>
      </c>
      <c r="H6" t="n">
        <v>21</v>
      </c>
      <c r="I6" t="n">
        <v>231</v>
      </c>
    </row>
    <row r="7">
      <c r="A7" t="inlineStr">
        <is>
          <t>Denominator</t>
        </is>
      </c>
      <c r="B7" s="6" t="n">
        <v>16</v>
      </c>
      <c r="H7" t="n">
        <v>22</v>
      </c>
      <c r="I7" t="n">
        <v>237</v>
      </c>
    </row>
    <row r="8">
      <c r="A8" s="3" t="inlineStr">
        <is>
          <t>Decimal (in)</t>
        </is>
      </c>
      <c r="B8" s="27">
        <f>B5+B6/B7</f>
        <v/>
      </c>
      <c r="H8" t="n">
        <v>23</v>
      </c>
      <c r="I8" t="n">
        <v>243</v>
      </c>
    </row>
    <row r="9">
      <c r="A9" t="inlineStr">
        <is>
          <t>Millimeters</t>
        </is>
      </c>
      <c r="B9" s="11">
        <f>B8*25.4</f>
        <v/>
      </c>
      <c r="H9" t="n">
        <v>24</v>
      </c>
      <c r="I9" t="n">
        <v>247</v>
      </c>
    </row>
    <row r="10">
      <c r="A10" t="inlineStr">
        <is>
          <t>Decimal to convert (in)</t>
        </is>
      </c>
      <c r="B10" s="26" t="n">
        <v>1.1875</v>
      </c>
      <c r="H10" t="n">
        <v>25</v>
      </c>
      <c r="I10" t="n">
        <v>253</v>
      </c>
    </row>
    <row r="11">
      <c r="A11" s="3" t="inlineStr">
        <is>
          <t>Nearest fraction (64ths)</t>
        </is>
      </c>
      <c r="B11" s="3">
        <f>IF(ROUND((B10-INT(B10))*64,0)=0,INT(B10)&amp;"",IF(ROUND((B10-INT(B10))*64,0)=64,(INT(B10)+1)&amp;"",IF(INT(B10)=0,(ROUND((B10-INT(B10))*64,0)/GCD(ROUND((B10-INT(B10))*64,0),64))&amp;"/"&amp;(64/GCD(ROUND((B10-INT(B10))*64,0),64)),INT(B10)&amp;" "&amp;(ROUND((B10-INT(B10))*64,0)/GCD(ROUND((B10-INT(B10))*64,0),64))&amp;"/"&amp;(64/GCD(ROUND((B10-INT(B10))*64,0),64)))))</f>
        <v/>
      </c>
      <c r="H11" t="n">
        <v>26</v>
      </c>
      <c r="I11" t="n">
        <v>258</v>
      </c>
    </row>
    <row r="12">
      <c r="A12" t="inlineStr">
        <is>
          <t>Millimeters</t>
        </is>
      </c>
      <c r="B12" s="11">
        <f>B10*25.4</f>
        <v/>
      </c>
      <c r="H12" t="n">
        <v>27</v>
      </c>
      <c r="I12" t="n">
        <v>264</v>
      </c>
    </row>
    <row r="13">
      <c r="H13" t="n">
        <v>28</v>
      </c>
      <c r="I13" t="n">
        <v>271</v>
      </c>
    </row>
    <row r="14">
      <c r="A14" s="5" t="inlineStr">
        <is>
          <t>2 — UNIT CONVERSIONS</t>
        </is>
      </c>
      <c r="H14" t="n">
        <v>29</v>
      </c>
      <c r="I14" t="n">
        <v>279</v>
      </c>
    </row>
    <row r="15">
      <c r="A15" t="inlineStr">
        <is>
          <t>Horsepower → kilowatts (HP → kW) — in</t>
        </is>
      </c>
      <c r="B15" s="7" t="n">
        <v>1</v>
      </c>
      <c r="H15" t="n">
        <v>30</v>
      </c>
      <c r="I15" t="n">
        <v>286</v>
      </c>
    </row>
    <row r="16">
      <c r="A16" t="inlineStr">
        <is>
          <t>Horsepower → kilowatts (HP → kW) — out</t>
        </is>
      </c>
      <c r="B16" s="10">
        <f>B15*0.745699</f>
        <v/>
      </c>
      <c r="H16" t="n">
        <v>31</v>
      </c>
      <c r="I16" t="n">
        <v>294</v>
      </c>
    </row>
    <row r="17">
      <c r="A17" t="inlineStr">
        <is>
          <t>Kilowatts → horsepower (kW → HP) — in</t>
        </is>
      </c>
      <c r="B17" s="7" t="n">
        <v>8.109999999999999</v>
      </c>
      <c r="H17" t="n">
        <v>32</v>
      </c>
      <c r="I17" t="n">
        <v>301</v>
      </c>
    </row>
    <row r="18">
      <c r="A18" t="inlineStr">
        <is>
          <t>Kilowatts → horsepower (kW → HP) — out</t>
        </is>
      </c>
      <c r="B18" s="10">
        <f>B17/0.745699</f>
        <v/>
      </c>
      <c r="H18" t="n">
        <v>33</v>
      </c>
      <c r="I18" t="n">
        <v>311</v>
      </c>
    </row>
    <row r="19">
      <c r="A19" t="inlineStr">
        <is>
          <t>Feet → meters (ft → m) — in</t>
        </is>
      </c>
      <c r="B19" s="7" t="n">
        <v>1</v>
      </c>
      <c r="H19" t="n">
        <v>34</v>
      </c>
      <c r="I19" t="n">
        <v>319</v>
      </c>
    </row>
    <row r="20">
      <c r="A20" t="inlineStr">
        <is>
          <t>Feet → meters (ft → m) — out</t>
        </is>
      </c>
      <c r="B20" s="10">
        <f>B19*0.3048</f>
        <v/>
      </c>
      <c r="H20" t="n">
        <v>35</v>
      </c>
      <c r="I20" t="n">
        <v>327</v>
      </c>
    </row>
    <row r="21">
      <c r="A21" t="inlineStr">
        <is>
          <t>Meters → feet (m → ft) — in</t>
        </is>
      </c>
      <c r="B21" s="7" t="n">
        <v>200</v>
      </c>
      <c r="H21" t="n">
        <v>36</v>
      </c>
      <c r="I21" t="n">
        <v>336</v>
      </c>
    </row>
    <row r="22">
      <c r="A22" t="inlineStr">
        <is>
          <t>Meters → feet (m → ft) — out</t>
        </is>
      </c>
      <c r="B22" s="10">
        <f>B21/0.3048</f>
        <v/>
      </c>
      <c r="H22" t="n">
        <v>37</v>
      </c>
      <c r="I22" t="n">
        <v>344</v>
      </c>
    </row>
    <row r="23">
      <c r="A23" t="inlineStr">
        <is>
          <t>Inches → meters (in → m) — in</t>
        </is>
      </c>
      <c r="B23" s="7" t="n">
        <v>1</v>
      </c>
      <c r="H23" t="n">
        <v>38</v>
      </c>
      <c r="I23" t="n">
        <v>353</v>
      </c>
    </row>
    <row r="24">
      <c r="A24" t="inlineStr">
        <is>
          <t>Inches → meters (in → m) — out</t>
        </is>
      </c>
      <c r="B24" s="10">
        <f>B23*0.0254</f>
        <v/>
      </c>
      <c r="H24" t="n">
        <v>39</v>
      </c>
      <c r="I24" t="n">
        <v>362</v>
      </c>
    </row>
    <row r="25">
      <c r="A25" t="inlineStr">
        <is>
          <t>Meters → inches (m → in) — in</t>
        </is>
      </c>
      <c r="B25" s="7" t="n">
        <v>1</v>
      </c>
      <c r="H25" t="n">
        <v>40</v>
      </c>
      <c r="I25" t="n">
        <v>371</v>
      </c>
    </row>
    <row r="26">
      <c r="A26" t="inlineStr">
        <is>
          <t>Meters → inches (m → in) — out</t>
        </is>
      </c>
      <c r="B26" s="10">
        <f>B25/0.0254</f>
        <v/>
      </c>
      <c r="H26" t="n">
        <v>41</v>
      </c>
      <c r="I26" t="n">
        <v>381</v>
      </c>
    </row>
    <row r="27">
      <c r="A27" t="inlineStr">
        <is>
          <t>Inches → millimeters (in → mm) — in</t>
        </is>
      </c>
      <c r="B27" s="7" t="n">
        <v>1</v>
      </c>
      <c r="H27" t="n">
        <v>42</v>
      </c>
      <c r="I27" t="n">
        <v>390</v>
      </c>
    </row>
    <row r="28">
      <c r="A28" t="inlineStr">
        <is>
          <t>Inches → millimeters (in → mm) — out</t>
        </is>
      </c>
      <c r="B28" s="10">
        <f>B27*25.4</f>
        <v/>
      </c>
      <c r="H28" t="n">
        <v>43</v>
      </c>
      <c r="I28" t="n">
        <v>400</v>
      </c>
    </row>
    <row r="29">
      <c r="A29" t="inlineStr">
        <is>
          <t>Millimeters → inches (mm → in) — in</t>
        </is>
      </c>
      <c r="B29" s="7" t="n">
        <v>25.4</v>
      </c>
      <c r="H29" t="n">
        <v>44</v>
      </c>
      <c r="I29" t="n">
        <v>409</v>
      </c>
    </row>
    <row r="30">
      <c r="A30" t="inlineStr">
        <is>
          <t>Millimeters → inches (mm → in) — out</t>
        </is>
      </c>
      <c r="B30" s="10">
        <f>B29/25.4</f>
        <v/>
      </c>
      <c r="H30" t="n">
        <v>45</v>
      </c>
      <c r="I30" t="n">
        <v>421</v>
      </c>
    </row>
    <row r="31">
      <c r="A31" t="inlineStr">
        <is>
          <t>°F → °C — in</t>
        </is>
      </c>
      <c r="B31" s="7" t="n">
        <v>32</v>
      </c>
      <c r="H31" t="n">
        <v>46</v>
      </c>
      <c r="I31" t="n">
        <v>432</v>
      </c>
    </row>
    <row r="32">
      <c r="A32" t="inlineStr">
        <is>
          <t>°F → °C — out</t>
        </is>
      </c>
      <c r="B32" s="10">
        <f>(B31-32)*5/9</f>
        <v/>
      </c>
      <c r="H32" t="n">
        <v>47</v>
      </c>
      <c r="I32" t="n">
        <v>443</v>
      </c>
    </row>
    <row r="33">
      <c r="A33" t="inlineStr">
        <is>
          <t>°C → °F — in</t>
        </is>
      </c>
      <c r="B33" s="7" t="n">
        <v>100</v>
      </c>
      <c r="H33" t="n">
        <v>48</v>
      </c>
      <c r="I33" t="n">
        <v>455</v>
      </c>
    </row>
    <row r="34">
      <c r="A34" t="inlineStr">
        <is>
          <t>°C → °F — out</t>
        </is>
      </c>
      <c r="B34" s="10">
        <f>B33*9/5+32</f>
        <v/>
      </c>
      <c r="H34" t="n">
        <v>49</v>
      </c>
      <c r="I34" t="n">
        <v>469</v>
      </c>
    </row>
    <row r="35">
      <c r="H35" t="n">
        <v>50</v>
      </c>
      <c r="I35" t="n">
        <v>481</v>
      </c>
    </row>
    <row r="36">
      <c r="A36" s="5" t="inlineStr">
        <is>
          <t>3 — HARDNESS — ASTM E140 TABLE 1 (HRC ⇄ HBW, table at right)</t>
        </is>
      </c>
      <c r="H36" t="n">
        <v>51</v>
      </c>
      <c r="I36" t="n">
        <v>496</v>
      </c>
    </row>
    <row r="37">
      <c r="A37" t="inlineStr">
        <is>
          <t>Rockwell C (20–65)</t>
        </is>
      </c>
      <c r="B37" s="16" t="n">
        <v>40</v>
      </c>
      <c r="H37" t="n">
        <v>52</v>
      </c>
      <c r="I37" t="n">
        <v>512</v>
      </c>
    </row>
    <row r="38">
      <c r="A38" s="3" t="inlineStr">
        <is>
          <t>Brinell HBW</t>
        </is>
      </c>
      <c r="B38" s="14">
        <f>IF(OR(B37&lt;20,B37&gt;65),"Out of E140 range",IF(B37=65,739,INDEX($I$5:$I$50,MATCH(B37,$H$5:$H$50,1))+(B37-INDEX($H$5:$H$50,MATCH(B37,$H$5:$H$50,1)))*(INDEX($I$5:$I$50,MATCH(B37,$H$5:$H$50,1)+1)-INDEX($I$5:$I$50,MATCH(B37,$H$5:$H$50,1)))/(INDEX($H$5:$H$50,MATCH(B37,$H$5:$H$50,1)+1)-INDEX($H$5:$H$50,MATCH(B37,$H$5:$H$50,1)))))</f>
        <v/>
      </c>
      <c r="H38" t="n">
        <v>53</v>
      </c>
      <c r="I38" t="n">
        <v>525</v>
      </c>
    </row>
    <row r="39">
      <c r="A39" t="inlineStr">
        <is>
          <t>Brinell HBW (226–739)</t>
        </is>
      </c>
      <c r="B39" s="6" t="n">
        <v>440</v>
      </c>
      <c r="H39" t="n">
        <v>54</v>
      </c>
      <c r="I39" t="n">
        <v>543</v>
      </c>
    </row>
    <row r="40">
      <c r="A40" s="3" t="inlineStr">
        <is>
          <t>Rockwell C</t>
        </is>
      </c>
      <c r="B40" s="21">
        <f>IF(OR(B39&lt;226,B39&gt;739),"Out of E140 range",IF(B39=739,65,INDEX($H$5:$H$50,MATCH(B39,$I$5:$I$50,1))+(B39-INDEX($I$5:$I$50,MATCH(B39,$I$5:$I$50,1)))*(INDEX($H$5:$H$50,MATCH(B39,$I$5:$I$50,1)+1)-INDEX($H$5:$H$50,MATCH(B39,$I$5:$I$50,1)))/(INDEX($I$5:$I$50,MATCH(B39,$I$5:$I$50,1)+1)-INDEX($I$5:$I$50,MATCH(B39,$I$5:$I$50,1)))))</f>
        <v/>
      </c>
      <c r="H40" t="n">
        <v>55</v>
      </c>
      <c r="I40" t="n">
        <v>560</v>
      </c>
    </row>
    <row r="41">
      <c r="A41" s="2" t="inlineStr">
        <is>
          <t>Conversions interpolate between E140 table rows and are approximate, as the standard states. No extrapolation outside the table.</t>
        </is>
      </c>
      <c r="H41" t="n">
        <v>56</v>
      </c>
      <c r="I41" t="n">
        <v>577</v>
      </c>
    </row>
    <row r="42">
      <c r="H42" t="n">
        <v>57</v>
      </c>
      <c r="I42" t="n">
        <v>595</v>
      </c>
    </row>
    <row r="43">
      <c r="A43" s="5" t="inlineStr">
        <is>
          <t>4 — SURFACE FINISH Ra ⇄ Rz (approximate)</t>
        </is>
      </c>
      <c r="H43" t="n">
        <v>58</v>
      </c>
      <c r="I43" t="n">
        <v>615</v>
      </c>
    </row>
    <row r="44">
      <c r="A44" t="inlineStr">
        <is>
          <t>Ra (µm)</t>
        </is>
      </c>
      <c r="B44" s="12" t="n">
        <v>1.6</v>
      </c>
      <c r="H44" t="n">
        <v>59</v>
      </c>
      <c r="I44" t="n">
        <v>634</v>
      </c>
    </row>
    <row r="45">
      <c r="A45" t="inlineStr">
        <is>
          <t>Rz (µm)</t>
        </is>
      </c>
      <c r="B45" s="9">
        <f>B44*4.5</f>
        <v/>
      </c>
      <c r="H45" t="n">
        <v>60</v>
      </c>
      <c r="I45" t="n">
        <v>654</v>
      </c>
    </row>
    <row r="46">
      <c r="A46" t="inlineStr">
        <is>
          <t>Rz (µm)</t>
        </is>
      </c>
      <c r="B46" s="12" t="n">
        <v>7.2</v>
      </c>
      <c r="H46" t="n">
        <v>61</v>
      </c>
      <c r="I46" t="n">
        <v>670</v>
      </c>
    </row>
    <row r="47">
      <c r="A47" t="inlineStr">
        <is>
          <t>Ra (µm)</t>
        </is>
      </c>
      <c r="B47" s="9">
        <f>B46/4.5</f>
        <v/>
      </c>
      <c r="H47" t="n">
        <v>62</v>
      </c>
      <c r="I47" t="n">
        <v>688</v>
      </c>
    </row>
    <row r="48">
      <c r="A48" s="2" t="inlineStr">
        <is>
          <t>Shop approximation Rz ≈ 4.5 × Ra; real conversions vary by process.</t>
        </is>
      </c>
      <c r="H48" t="n">
        <v>63</v>
      </c>
      <c r="I48" t="n">
        <v>705</v>
      </c>
    </row>
    <row r="49">
      <c r="H49" t="n">
        <v>64</v>
      </c>
      <c r="I49" t="n">
        <v>722</v>
      </c>
    </row>
    <row r="50">
      <c r="A50" s="5" t="inlineStr">
        <is>
          <t>5 — BOLT TORQUE (T = K × D × F)</t>
        </is>
      </c>
      <c r="H50" t="n">
        <v>65</v>
      </c>
      <c r="I50" t="n">
        <v>739</v>
      </c>
    </row>
    <row r="51">
      <c r="A51" t="inlineStr">
        <is>
          <t>K factor (0.20 dry / 0.15 lubed / 0.11 waxed)</t>
        </is>
      </c>
      <c r="B51" s="12" t="n">
        <v>0.2</v>
      </c>
    </row>
    <row r="52">
      <c r="A52" t="inlineStr">
        <is>
          <t>Bolt diameter (in)</t>
        </is>
      </c>
      <c r="B52" s="7" t="n">
        <v>0.5</v>
      </c>
    </row>
    <row r="53">
      <c r="A53" t="inlineStr">
        <is>
          <t>Wanted clamp load (lb)</t>
        </is>
      </c>
      <c r="B53" s="6" t="n">
        <v>8000</v>
      </c>
    </row>
    <row r="54">
      <c r="A54" s="3" t="inlineStr">
        <is>
          <t>Torque (in-lb)</t>
        </is>
      </c>
      <c r="B54" s="14">
        <f>B51*B52*B53</f>
        <v/>
      </c>
    </row>
    <row r="55">
      <c r="A55" t="inlineStr">
        <is>
          <t>Torque (ft-lb)</t>
        </is>
      </c>
      <c r="B55" s="9">
        <f>B54/12</f>
        <v/>
      </c>
    </row>
    <row r="57">
      <c r="A57" s="5" t="inlineStr">
        <is>
          <t>6 — KNURL BLANK DIAMETER</t>
        </is>
      </c>
    </row>
    <row r="58">
      <c r="A58" t="inlineStr">
        <is>
          <t>Blank diameter (in)</t>
        </is>
      </c>
      <c r="B58" s="7" t="n">
        <v>1.25</v>
      </c>
    </row>
    <row r="59">
      <c r="A59" t="inlineStr">
        <is>
          <t>Knurl pitch (TPI)</t>
        </is>
      </c>
      <c r="B59" s="6" t="n">
        <v>14</v>
      </c>
    </row>
    <row r="60">
      <c r="A60" s="3" t="inlineStr">
        <is>
          <t>Knurl blank diameter (in)</t>
        </is>
      </c>
      <c r="B60" s="20">
        <f>ROUND(INT(B58*B59*PI())/B59/PI(),3)</f>
        <v/>
      </c>
    </row>
  </sheetData>
  <pageMargins left="0.75" right="0.75" top="1" bottom="1" header="0.5" footer="0.5"/>
  <headerFooter>
    <oddHeader>&amp;C&amp;9 H38 Quick Calc — Highway 38 Solutions</oddHeader>
    <oddFooter/>
    <evenHeader/>
    <evenFooter/>
    <firstHeader/>
    <firstFooter/>
  </headerFooter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10" customWidth="1" min="4" max="4"/>
    <col width="11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REFERENCE</t>
        </is>
      </c>
    </row>
    <row r="2">
      <c r="A2" s="2" t="inlineStr">
        <is>
          <t>H38 Quick Calc · Highway 38 Solutions — G &amp; M codes, the ISO 1832 insert designation decoder and AS568 O-ring sizes. The fastener, cutting and weight tables live on their topic sheets.</t>
        </is>
      </c>
    </row>
    <row r="4">
      <c r="A4" s="5" t="inlineStr">
        <is>
          <t>1 — G CODES — QUICK REFERENCE (COMMON FANUC-STYLE)</t>
        </is>
      </c>
    </row>
    <row r="5">
      <c r="A5" s="3" t="inlineStr">
        <is>
          <t>Motion</t>
        </is>
      </c>
    </row>
    <row r="6">
      <c r="A6" t="inlineStr">
        <is>
          <t>G00</t>
        </is>
      </c>
      <c r="B6" t="inlineStr">
        <is>
          <t>Rapid positioning — fast traverse, not a cutting move</t>
        </is>
      </c>
    </row>
    <row r="7">
      <c r="A7" t="inlineStr">
        <is>
          <t>G01</t>
        </is>
      </c>
      <c r="B7" t="inlineStr">
        <is>
          <t>Linear interpolation — straight cut at the programmed feedrate</t>
        </is>
      </c>
    </row>
    <row r="8">
      <c r="A8" t="inlineStr">
        <is>
          <t>G02</t>
        </is>
      </c>
      <c r="B8" t="inlineStr">
        <is>
          <t>Circular interpolation, clockwise</t>
        </is>
      </c>
    </row>
    <row r="9">
      <c r="A9" t="inlineStr">
        <is>
          <t>G03</t>
        </is>
      </c>
      <c r="B9" t="inlineStr">
        <is>
          <t>Circular interpolation, counter-clockwise</t>
        </is>
      </c>
    </row>
    <row r="10">
      <c r="A10" t="inlineStr">
        <is>
          <t>G04</t>
        </is>
      </c>
      <c r="B10" t="inlineStr">
        <is>
          <t>Dwell — pause for a set time or spindle revolutions</t>
        </is>
      </c>
    </row>
    <row r="11">
      <c r="A11" t="inlineStr">
        <is>
          <t>G09</t>
        </is>
      </c>
      <c r="B11" t="inlineStr">
        <is>
          <t>Exact stop — decelerate to a full stop at the end of this block</t>
        </is>
      </c>
    </row>
    <row r="12">
      <c r="A12" s="3" t="inlineStr">
        <is>
          <t>Canned cycles</t>
        </is>
      </c>
    </row>
    <row r="13">
      <c r="A13" t="inlineStr">
        <is>
          <t>G73</t>
        </is>
      </c>
      <c r="B13" t="inlineStr">
        <is>
          <t>Peck drilling cycle, high-speed — short retracts to break chips</t>
        </is>
      </c>
    </row>
    <row r="14">
      <c r="A14" t="inlineStr">
        <is>
          <t>G74</t>
        </is>
      </c>
      <c r="B14" t="inlineStr">
        <is>
          <t>Left-hand tapping cycle (counter-boring on some lathes)</t>
        </is>
      </c>
    </row>
    <row r="15">
      <c r="A15" t="inlineStr">
        <is>
          <t>G76</t>
        </is>
      </c>
      <c r="B15" t="inlineStr">
        <is>
          <t>Fine boring cycle on mills; threading cycle on lathes</t>
        </is>
      </c>
    </row>
    <row r="16">
      <c r="A16" t="inlineStr">
        <is>
          <t>G80</t>
        </is>
      </c>
      <c r="B16" t="inlineStr">
        <is>
          <t>Cancel canned cycle</t>
        </is>
      </c>
    </row>
    <row r="17">
      <c r="A17" t="inlineStr">
        <is>
          <t>G81</t>
        </is>
      </c>
      <c r="B17" t="inlineStr">
        <is>
          <t>Drilling cycle — feed in, rapid out</t>
        </is>
      </c>
    </row>
    <row r="18">
      <c r="A18" t="inlineStr">
        <is>
          <t>G82</t>
        </is>
      </c>
      <c r="B18" t="inlineStr">
        <is>
          <t>Drilling cycle with dwell at the bottom (counterboring / spot-facing)</t>
        </is>
      </c>
    </row>
    <row r="19">
      <c r="A19" t="inlineStr">
        <is>
          <t>G83</t>
        </is>
      </c>
      <c r="B19" t="inlineStr">
        <is>
          <t>Peck drilling cycle — full retract to clear chips</t>
        </is>
      </c>
    </row>
    <row r="20">
      <c r="A20" t="inlineStr">
        <is>
          <t>G84</t>
        </is>
      </c>
      <c r="B20" t="inlineStr">
        <is>
          <t>Tapping cycle, right-hand</t>
        </is>
      </c>
    </row>
    <row r="21">
      <c r="A21" t="inlineStr">
        <is>
          <t>G85</t>
        </is>
      </c>
      <c r="B21" t="inlineStr">
        <is>
          <t>Boring cycle — feed in, feed out (reaming cycle)</t>
        </is>
      </c>
    </row>
    <row r="22">
      <c r="A22" s="3" t="inlineStr">
        <is>
          <t>Compensation &amp; work offsets</t>
        </is>
      </c>
    </row>
    <row r="23">
      <c r="A23" t="inlineStr">
        <is>
          <t>G40</t>
        </is>
      </c>
      <c r="B23" t="inlineStr">
        <is>
          <t>Cancel cutter compensation</t>
        </is>
      </c>
    </row>
    <row r="24">
      <c r="A24" t="inlineStr">
        <is>
          <t>G41</t>
        </is>
      </c>
      <c r="B24" t="inlineStr">
        <is>
          <t>Cutter compensation left</t>
        </is>
      </c>
    </row>
    <row r="25">
      <c r="A25" t="inlineStr">
        <is>
          <t>G42</t>
        </is>
      </c>
      <c r="B25" t="inlineStr">
        <is>
          <t>Cutter compensation right</t>
        </is>
      </c>
    </row>
    <row r="26">
      <c r="A26" t="inlineStr">
        <is>
          <t>G43</t>
        </is>
      </c>
      <c r="B26" t="inlineStr">
        <is>
          <t>Tool length compensation — apply (plus)</t>
        </is>
      </c>
    </row>
    <row r="27">
      <c r="A27" t="inlineStr">
        <is>
          <t>G49</t>
        </is>
      </c>
      <c r="B27" t="inlineStr">
        <is>
          <t>Cancel tool length compensation</t>
        </is>
      </c>
    </row>
    <row r="28">
      <c r="A28" t="inlineStr">
        <is>
          <t>G54</t>
        </is>
      </c>
      <c r="B28" t="inlineStr">
        <is>
          <t>Work coordinate system 1</t>
        </is>
      </c>
    </row>
    <row r="29">
      <c r="A29" t="inlineStr">
        <is>
          <t>G55</t>
        </is>
      </c>
      <c r="B29" t="inlineStr">
        <is>
          <t>Work coordinate system 2</t>
        </is>
      </c>
    </row>
    <row r="30">
      <c r="A30" t="inlineStr">
        <is>
          <t>G56</t>
        </is>
      </c>
      <c r="B30" t="inlineStr">
        <is>
          <t>Work coordinate system 3</t>
        </is>
      </c>
    </row>
    <row r="31">
      <c r="A31" t="inlineStr">
        <is>
          <t>G57</t>
        </is>
      </c>
      <c r="B31" t="inlineStr">
        <is>
          <t>Work coordinate system 4</t>
        </is>
      </c>
    </row>
    <row r="32">
      <c r="A32" t="inlineStr">
        <is>
          <t>G58</t>
        </is>
      </c>
      <c r="B32" t="inlineStr">
        <is>
          <t>Work coordinate system 5</t>
        </is>
      </c>
    </row>
    <row r="33">
      <c r="A33" t="inlineStr">
        <is>
          <t>G59</t>
        </is>
      </c>
      <c r="B33" t="inlineStr">
        <is>
          <t>Work coordinate system 6</t>
        </is>
      </c>
    </row>
    <row r="34">
      <c r="A34" s="3" t="inlineStr">
        <is>
          <t>Modes</t>
        </is>
      </c>
    </row>
    <row r="35">
      <c r="A35" t="inlineStr">
        <is>
          <t>G17</t>
        </is>
      </c>
      <c r="B35" t="inlineStr">
        <is>
          <t>Select the XY plane (arcs &amp; cutter comp)</t>
        </is>
      </c>
    </row>
    <row r="36">
      <c r="A36" t="inlineStr">
        <is>
          <t>G18</t>
        </is>
      </c>
      <c r="B36" t="inlineStr">
        <is>
          <t>Select the XZ plane (the lathe plane)</t>
        </is>
      </c>
    </row>
    <row r="37">
      <c r="A37" t="inlineStr">
        <is>
          <t>G19</t>
        </is>
      </c>
      <c r="B37" t="inlineStr">
        <is>
          <t>Select the YZ plane</t>
        </is>
      </c>
    </row>
    <row r="38">
      <c r="A38" t="inlineStr">
        <is>
          <t>G20</t>
        </is>
      </c>
      <c r="B38" t="inlineStr">
        <is>
          <t>Inch input</t>
        </is>
      </c>
    </row>
    <row r="39">
      <c r="A39" t="inlineStr">
        <is>
          <t>G21</t>
        </is>
      </c>
      <c r="B39" t="inlineStr">
        <is>
          <t>Metric (mm) input</t>
        </is>
      </c>
    </row>
    <row r="40">
      <c r="A40" t="inlineStr">
        <is>
          <t>G61</t>
        </is>
      </c>
      <c r="B40" t="inlineStr">
        <is>
          <t>Exact stop mode — full stop at every block end</t>
        </is>
      </c>
    </row>
    <row r="41">
      <c r="A41" t="inlineStr">
        <is>
          <t>G64</t>
        </is>
      </c>
      <c r="B41" t="inlineStr">
        <is>
          <t>Cutting mode — continuous path, no stop between blocks</t>
        </is>
      </c>
    </row>
    <row r="42">
      <c r="A42" t="inlineStr">
        <is>
          <t>G90</t>
        </is>
      </c>
      <c r="B42" t="inlineStr">
        <is>
          <t>Absolute programming — positions from the work zero</t>
        </is>
      </c>
    </row>
    <row r="43">
      <c r="A43" t="inlineStr">
        <is>
          <t>G91</t>
        </is>
      </c>
      <c r="B43" t="inlineStr">
        <is>
          <t>Incremental programming — positions from where you are</t>
        </is>
      </c>
    </row>
    <row r="44">
      <c r="A44" t="inlineStr">
        <is>
          <t>G94</t>
        </is>
      </c>
      <c r="B44" t="inlineStr">
        <is>
          <t>Feed per minute</t>
        </is>
      </c>
    </row>
    <row r="45">
      <c r="A45" t="inlineStr">
        <is>
          <t>G95</t>
        </is>
      </c>
      <c r="B45" t="inlineStr">
        <is>
          <t>Feed per revolution</t>
        </is>
      </c>
    </row>
    <row r="46">
      <c r="A46" t="inlineStr">
        <is>
          <t>G96</t>
        </is>
      </c>
      <c r="B46" t="inlineStr">
        <is>
          <t>Constant surface speed (CSS) on — value is surface speed</t>
        </is>
      </c>
    </row>
    <row r="47">
      <c r="A47" t="inlineStr">
        <is>
          <t>G97</t>
        </is>
      </c>
      <c r="B47" t="inlineStr">
        <is>
          <t>CSS off — spindle speed is direct RPM</t>
        </is>
      </c>
    </row>
    <row r="48">
      <c r="A48" t="inlineStr">
        <is>
          <t>G98</t>
        </is>
      </c>
      <c r="B48" t="inlineStr">
        <is>
          <t>Canned cycle return to the initial plane</t>
        </is>
      </c>
    </row>
    <row r="49">
      <c r="A49" t="inlineStr">
        <is>
          <t>G99</t>
        </is>
      </c>
      <c r="B49" t="inlineStr">
        <is>
          <t>Canned cycle return to the R plane</t>
        </is>
      </c>
    </row>
    <row r="50">
      <c r="A50" s="3" t="inlineStr">
        <is>
          <t>Reference point return</t>
        </is>
      </c>
    </row>
    <row r="51">
      <c r="A51" t="inlineStr">
        <is>
          <t>G27</t>
        </is>
      </c>
      <c r="B51" t="inlineStr">
        <is>
          <t>Reference point return check</t>
        </is>
      </c>
    </row>
    <row r="52">
      <c r="A52" t="inlineStr">
        <is>
          <t>G28</t>
        </is>
      </c>
      <c r="B52" t="inlineStr">
        <is>
          <t>Return to reference point (machine home), through an intermediate point</t>
        </is>
      </c>
    </row>
    <row r="53">
      <c r="A53" t="inlineStr">
        <is>
          <t>G30</t>
        </is>
      </c>
      <c r="B53" t="inlineStr">
        <is>
          <t>Return to the 2nd, 3rd, or 4th reference point</t>
        </is>
      </c>
    </row>
    <row r="54">
      <c r="A54" s="2" t="inlineStr">
        <is>
          <t>Common codes — always confirm against your machine’s control. Some codes do different jobs on different controls and machine builders.</t>
        </is>
      </c>
    </row>
    <row r="56">
      <c r="A56" s="5" t="inlineStr">
        <is>
          <t>2 — M CODES — QUICK REFERENCE (COMMON FANUC-STYLE)</t>
        </is>
      </c>
    </row>
    <row r="57">
      <c r="A57" s="3" t="inlineStr">
        <is>
          <t>Program control</t>
        </is>
      </c>
    </row>
    <row r="58">
      <c r="A58" t="inlineStr">
        <is>
          <t>M00</t>
        </is>
      </c>
      <c r="B58" t="inlineStr">
        <is>
          <t>Program stop — unconditional; press cycle start to continue</t>
        </is>
      </c>
    </row>
    <row r="59">
      <c r="A59" t="inlineStr">
        <is>
          <t>M01</t>
        </is>
      </c>
      <c r="B59" t="inlineStr">
        <is>
          <t>Optional stop — stops only when the optional-stop switch is on</t>
        </is>
      </c>
    </row>
    <row r="60">
      <c r="A60" t="inlineStr">
        <is>
          <t>M02</t>
        </is>
      </c>
      <c r="B60" t="inlineStr">
        <is>
          <t>End of program</t>
        </is>
      </c>
    </row>
    <row r="61">
      <c r="A61" t="inlineStr">
        <is>
          <t>M30</t>
        </is>
      </c>
      <c r="B61" t="inlineStr">
        <is>
          <t>End of program — reset and rewind to the start</t>
        </is>
      </c>
    </row>
    <row r="62">
      <c r="A62" t="inlineStr">
        <is>
          <t>M98</t>
        </is>
      </c>
      <c r="B62" t="inlineStr">
        <is>
          <t>Subprogram call</t>
        </is>
      </c>
    </row>
    <row r="63">
      <c r="A63" t="inlineStr">
        <is>
          <t>M99</t>
        </is>
      </c>
      <c r="B63" t="inlineStr">
        <is>
          <t>Subprogram end — return to the main program</t>
        </is>
      </c>
    </row>
    <row r="64">
      <c r="A64" s="3" t="inlineStr">
        <is>
          <t>Spindle &amp; gear</t>
        </is>
      </c>
    </row>
    <row r="65">
      <c r="A65" t="inlineStr">
        <is>
          <t>M03</t>
        </is>
      </c>
      <c r="B65" t="inlineStr">
        <is>
          <t>Spindle on, clockwise</t>
        </is>
      </c>
    </row>
    <row r="66">
      <c r="A66" t="inlineStr">
        <is>
          <t>M04</t>
        </is>
      </c>
      <c r="B66" t="inlineStr">
        <is>
          <t>Spindle on, counter-clockwise</t>
        </is>
      </c>
    </row>
    <row r="67">
      <c r="A67" t="inlineStr">
        <is>
          <t>M05</t>
        </is>
      </c>
      <c r="B67" t="inlineStr">
        <is>
          <t>Spindle stop</t>
        </is>
      </c>
    </row>
    <row r="68">
      <c r="A68" t="inlineStr">
        <is>
          <t>M19</t>
        </is>
      </c>
      <c r="B68" t="inlineStr">
        <is>
          <t>Spindle orientation — stop at a set angle</t>
        </is>
      </c>
    </row>
    <row r="69">
      <c r="A69" t="inlineStr">
        <is>
          <t>M41</t>
        </is>
      </c>
      <c r="B69" t="inlineStr">
        <is>
          <t>Gear range 1 (low) — on machines with a geared head</t>
        </is>
      </c>
    </row>
    <row r="70">
      <c r="A70" t="inlineStr">
        <is>
          <t>M42</t>
        </is>
      </c>
      <c r="B70" t="inlineStr">
        <is>
          <t>Gear range 2 — on machines with a geared head</t>
        </is>
      </c>
    </row>
    <row r="71">
      <c r="A71" t="inlineStr">
        <is>
          <t>M43</t>
        </is>
      </c>
      <c r="B71" t="inlineStr">
        <is>
          <t>Gear range 3 — on machines with a geared head</t>
        </is>
      </c>
    </row>
    <row r="72">
      <c r="A72" t="inlineStr">
        <is>
          <t>M44</t>
        </is>
      </c>
      <c r="B72" t="inlineStr">
        <is>
          <t>Gear range 4 (high) — on machines with a geared head</t>
        </is>
      </c>
    </row>
    <row r="73">
      <c r="A73" s="3" t="inlineStr">
        <is>
          <t>Tool change</t>
        </is>
      </c>
    </row>
    <row r="74">
      <c r="A74" t="inlineStr">
        <is>
          <t>M06</t>
        </is>
      </c>
      <c r="B74" t="inlineStr">
        <is>
          <t>Tool change</t>
        </is>
      </c>
    </row>
    <row r="75">
      <c r="A75" s="3" t="inlineStr">
        <is>
          <t>Coolant</t>
        </is>
      </c>
    </row>
    <row r="76">
      <c r="A76" t="inlineStr">
        <is>
          <t>M07</t>
        </is>
      </c>
      <c r="B76" t="inlineStr">
        <is>
          <t>Coolant on — mist (through-spindle on some machines)</t>
        </is>
      </c>
    </row>
    <row r="77">
      <c r="A77" t="inlineStr">
        <is>
          <t>M08</t>
        </is>
      </c>
      <c r="B77" t="inlineStr">
        <is>
          <t>Coolant on — flood</t>
        </is>
      </c>
    </row>
    <row r="78">
      <c r="A78" t="inlineStr">
        <is>
          <t>M09</t>
        </is>
      </c>
      <c r="B78" t="inlineStr">
        <is>
          <t>Coolant off</t>
        </is>
      </c>
    </row>
    <row r="79">
      <c r="A79" s="3" t="inlineStr">
        <is>
          <t>Overrides</t>
        </is>
      </c>
    </row>
    <row r="80">
      <c r="A80" t="inlineStr">
        <is>
          <t>M48</t>
        </is>
      </c>
      <c r="B80" t="inlineStr">
        <is>
          <t>Enable feed &amp; speed overrides (cancels M49)</t>
        </is>
      </c>
    </row>
    <row r="81">
      <c r="A81" t="inlineStr">
        <is>
          <t>M49</t>
        </is>
      </c>
      <c r="B81" t="inlineStr">
        <is>
          <t>Disable feed &amp; speed overrides — locked at 100%</t>
        </is>
      </c>
    </row>
    <row r="82">
      <c r="A82" s="2" t="inlineStr">
        <is>
          <t>Common codes — always confirm against your machine’s control.</t>
        </is>
      </c>
    </row>
    <row r="84">
      <c r="A84" s="5" t="inlineStr">
        <is>
          <t>3 — INSERT DESIGNATION (ISO 1832) — WHAT EACH POSITION MEANS</t>
        </is>
      </c>
    </row>
    <row r="85">
      <c r="A85" s="19" t="inlineStr">
        <is>
          <t>Position 1 — shape</t>
        </is>
      </c>
    </row>
    <row r="86">
      <c r="A86" t="inlineStr">
        <is>
          <t>H</t>
        </is>
      </c>
      <c r="B86" t="inlineStr">
        <is>
          <t>Hexagon, 120° corners</t>
        </is>
      </c>
    </row>
    <row r="87">
      <c r="A87" t="inlineStr">
        <is>
          <t>O</t>
        </is>
      </c>
      <c r="B87" t="inlineStr">
        <is>
          <t>Octagon, 135° corners</t>
        </is>
      </c>
    </row>
    <row r="88">
      <c r="A88" t="inlineStr">
        <is>
          <t>P</t>
        </is>
      </c>
      <c r="B88" t="inlineStr">
        <is>
          <t>Pentagon, 108° corners</t>
        </is>
      </c>
    </row>
    <row r="89">
      <c r="A89" t="inlineStr">
        <is>
          <t>S</t>
        </is>
      </c>
      <c r="B89" t="inlineStr">
        <is>
          <t>Square, 90° corners</t>
        </is>
      </c>
    </row>
    <row r="90">
      <c r="A90" t="inlineStr">
        <is>
          <t>T</t>
        </is>
      </c>
      <c r="B90" t="inlineStr">
        <is>
          <t>Triangle, 60° corners</t>
        </is>
      </c>
    </row>
    <row r="91">
      <c r="A91" t="inlineStr">
        <is>
          <t>C</t>
        </is>
      </c>
      <c r="B91" t="inlineStr">
        <is>
          <t>Diamond, 80° corners</t>
        </is>
      </c>
    </row>
    <row r="92">
      <c r="A92" t="inlineStr">
        <is>
          <t>D</t>
        </is>
      </c>
      <c r="B92" t="inlineStr">
        <is>
          <t>Diamond, 55° corners</t>
        </is>
      </c>
    </row>
    <row r="93">
      <c r="A93" t="inlineStr">
        <is>
          <t>E</t>
        </is>
      </c>
      <c r="B93" t="inlineStr">
        <is>
          <t>Diamond, 75° corners</t>
        </is>
      </c>
    </row>
    <row r="94">
      <c r="A94" t="inlineStr">
        <is>
          <t>F</t>
        </is>
      </c>
      <c r="B94" t="inlineStr">
        <is>
          <t>Diamond, 50° corners</t>
        </is>
      </c>
    </row>
    <row r="95">
      <c r="A95" t="inlineStr">
        <is>
          <t>L</t>
        </is>
      </c>
      <c r="B95" t="inlineStr">
        <is>
          <t>Rectangle, 90° corners</t>
        </is>
      </c>
    </row>
    <row r="96">
      <c r="A96" t="inlineStr">
        <is>
          <t>A</t>
        </is>
      </c>
      <c r="B96" t="inlineStr">
        <is>
          <t>Parallelogram, 85° corners</t>
        </is>
      </c>
    </row>
    <row r="97">
      <c r="A97" t="inlineStr">
        <is>
          <t>B</t>
        </is>
      </c>
      <c r="B97" t="inlineStr">
        <is>
          <t>Parallelogram, 82° corners</t>
        </is>
      </c>
    </row>
    <row r="98">
      <c r="A98" t="inlineStr">
        <is>
          <t>K</t>
        </is>
      </c>
      <c r="B98" t="inlineStr">
        <is>
          <t>Parallelogram, 55° corners</t>
        </is>
      </c>
    </row>
    <row r="99">
      <c r="A99" t="inlineStr">
        <is>
          <t>M</t>
        </is>
      </c>
      <c r="B99" t="inlineStr">
        <is>
          <t>Diamond, 86° corners</t>
        </is>
      </c>
    </row>
    <row r="100">
      <c r="A100" t="inlineStr">
        <is>
          <t>V</t>
        </is>
      </c>
      <c r="B100" t="inlineStr">
        <is>
          <t>Diamond, 35° corners</t>
        </is>
      </c>
    </row>
    <row r="101">
      <c r="A101" t="inlineStr">
        <is>
          <t>W</t>
        </is>
      </c>
      <c r="B101" t="inlineStr">
        <is>
          <t>Trigon, 80° corners</t>
        </is>
      </c>
    </row>
    <row r="102">
      <c r="A102" t="inlineStr">
        <is>
          <t>R</t>
        </is>
      </c>
      <c r="B102" t="inlineStr">
        <is>
          <t>Round</t>
        </is>
      </c>
    </row>
    <row r="103">
      <c r="A103" s="19" t="inlineStr">
        <is>
          <t>Position 2 — clearance angle</t>
        </is>
      </c>
    </row>
    <row r="104">
      <c r="A104" t="inlineStr">
        <is>
          <t>A</t>
        </is>
      </c>
      <c r="B104" t="inlineStr">
        <is>
          <t>3°</t>
        </is>
      </c>
    </row>
    <row r="105">
      <c r="A105" t="inlineStr">
        <is>
          <t>B</t>
        </is>
      </c>
      <c r="B105" t="inlineStr">
        <is>
          <t>5°</t>
        </is>
      </c>
    </row>
    <row r="106">
      <c r="A106" t="inlineStr">
        <is>
          <t>C</t>
        </is>
      </c>
      <c r="B106" t="inlineStr">
        <is>
          <t>7°</t>
        </is>
      </c>
    </row>
    <row r="107">
      <c r="A107" t="inlineStr">
        <is>
          <t>D</t>
        </is>
      </c>
      <c r="B107" t="inlineStr">
        <is>
          <t>15°</t>
        </is>
      </c>
    </row>
    <row r="108">
      <c r="A108" t="inlineStr">
        <is>
          <t>E</t>
        </is>
      </c>
      <c r="B108" t="inlineStr">
        <is>
          <t>20°</t>
        </is>
      </c>
    </row>
    <row r="109">
      <c r="A109" t="inlineStr">
        <is>
          <t>F</t>
        </is>
      </c>
      <c r="B109" t="inlineStr">
        <is>
          <t>25°</t>
        </is>
      </c>
    </row>
    <row r="110">
      <c r="A110" t="inlineStr">
        <is>
          <t>G</t>
        </is>
      </c>
      <c r="B110" t="inlineStr">
        <is>
          <t>30°</t>
        </is>
      </c>
    </row>
    <row r="111">
      <c r="A111" t="inlineStr">
        <is>
          <t>N</t>
        </is>
      </c>
      <c r="B111" t="inlineStr">
        <is>
          <t>0° (negative insert — double-sided)</t>
        </is>
      </c>
    </row>
    <row r="112">
      <c r="A112" t="inlineStr">
        <is>
          <t>P</t>
        </is>
      </c>
      <c r="B112" t="inlineStr">
        <is>
          <t>11°</t>
        </is>
      </c>
    </row>
    <row r="113">
      <c r="A113" t="inlineStr">
        <is>
          <t>O</t>
        </is>
      </c>
      <c r="B113" t="inlineStr">
        <is>
          <t>Other / special</t>
        </is>
      </c>
    </row>
    <row r="114">
      <c r="A114" s="19" t="inlineStr">
        <is>
          <t>Position 3 — tolerance class (inscribed-circle tolerance)</t>
        </is>
      </c>
    </row>
    <row r="115">
      <c r="A115" t="inlineStr">
        <is>
          <t>A</t>
        </is>
      </c>
      <c r="B115" t="inlineStr">
        <is>
          <t>±0.005 mm (precision)</t>
        </is>
      </c>
    </row>
    <row r="116">
      <c r="A116" t="inlineStr">
        <is>
          <t>F</t>
        </is>
      </c>
      <c r="B116" t="inlineStr">
        <is>
          <t>±0.005 mm (precision)</t>
        </is>
      </c>
    </row>
    <row r="117">
      <c r="A117" t="inlineStr">
        <is>
          <t>C</t>
        </is>
      </c>
      <c r="B117" t="inlineStr">
        <is>
          <t>±0.013 mm</t>
        </is>
      </c>
    </row>
    <row r="118">
      <c r="A118" t="inlineStr">
        <is>
          <t>H</t>
        </is>
      </c>
      <c r="B118" t="inlineStr">
        <is>
          <t>±0.013 mm</t>
        </is>
      </c>
    </row>
    <row r="119">
      <c r="A119" t="inlineStr">
        <is>
          <t>E</t>
        </is>
      </c>
      <c r="B119" t="inlineStr">
        <is>
          <t>±0.025 mm</t>
        </is>
      </c>
    </row>
    <row r="120">
      <c r="A120" t="inlineStr">
        <is>
          <t>G</t>
        </is>
      </c>
      <c r="B120" t="inlineStr">
        <is>
          <t>±0.025 mm (ground)</t>
        </is>
      </c>
    </row>
    <row r="121">
      <c r="A121" t="inlineStr">
        <is>
          <t>J</t>
        </is>
      </c>
      <c r="B121" t="inlineStr">
        <is>
          <t>±0.005–0.05 mm *</t>
        </is>
      </c>
    </row>
    <row r="122">
      <c r="A122" t="inlineStr">
        <is>
          <t>K</t>
        </is>
      </c>
      <c r="B122" t="inlineStr">
        <is>
          <t>±0.013–0.05 mm *</t>
        </is>
      </c>
    </row>
    <row r="123">
      <c r="A123" t="inlineStr">
        <is>
          <t>L</t>
        </is>
      </c>
      <c r="B123" t="inlineStr">
        <is>
          <t>±0.025–0.05 mm *</t>
        </is>
      </c>
    </row>
    <row r="124">
      <c r="A124" t="inlineStr">
        <is>
          <t>M</t>
        </is>
      </c>
      <c r="B124" t="inlineStr">
        <is>
          <t>±0.05–0.15 mm * (standard molded)</t>
        </is>
      </c>
    </row>
    <row r="125">
      <c r="A125" t="inlineStr">
        <is>
          <t>N</t>
        </is>
      </c>
      <c r="B125" t="inlineStr">
        <is>
          <t>±0.05–0.15 mm *</t>
        </is>
      </c>
    </row>
    <row r="126">
      <c r="A126" t="inlineStr">
        <is>
          <t>P</t>
        </is>
      </c>
      <c r="B126" t="inlineStr">
        <is>
          <t>±0.05–0.15 mm *</t>
        </is>
      </c>
    </row>
    <row r="127">
      <c r="A127" t="inlineStr">
        <is>
          <t>T</t>
        </is>
      </c>
      <c r="B127" t="inlineStr">
        <is>
          <t>±0.005–0.05 mm *</t>
        </is>
      </c>
    </row>
    <row r="128">
      <c r="A128" t="inlineStr">
        <is>
          <t>U</t>
        </is>
      </c>
      <c r="B128" t="inlineStr">
        <is>
          <t>±0.08–0.25 mm * (utility)</t>
        </is>
      </c>
    </row>
    <row r="129">
      <c r="A129" s="2" t="inlineStr">
        <is>
          <t>* size-dependent classes — the range depends on insert size.</t>
        </is>
      </c>
    </row>
    <row r="130">
      <c r="A130" s="19" t="inlineStr">
        <is>
          <t>Position 4 — type (fixing hole / chipbreaker)</t>
        </is>
      </c>
    </row>
    <row r="131">
      <c r="A131" t="inlineStr">
        <is>
          <t>A</t>
        </is>
      </c>
      <c r="B131" t="inlineStr">
        <is>
          <t>No fixing hole, no chipbreaker</t>
        </is>
      </c>
    </row>
    <row r="132">
      <c r="A132" t="inlineStr">
        <is>
          <t>B</t>
        </is>
      </c>
      <c r="B132" t="inlineStr">
        <is>
          <t>No fixing hole, chipbreaker one side</t>
        </is>
      </c>
    </row>
    <row r="133">
      <c r="A133" t="inlineStr">
        <is>
          <t>C</t>
        </is>
      </c>
      <c r="B133" t="inlineStr">
        <is>
          <t>No fixing hole, chipbreaker both sides</t>
        </is>
      </c>
    </row>
    <row r="134">
      <c r="A134" t="inlineStr">
        <is>
          <t>G</t>
        </is>
      </c>
      <c r="B134" t="inlineStr">
        <is>
          <t>Cylindrical hole, no chipbreaker</t>
        </is>
      </c>
    </row>
    <row r="135">
      <c r="A135" t="inlineStr">
        <is>
          <t>H</t>
        </is>
      </c>
      <c r="B135" t="inlineStr">
        <is>
          <t>Hole + countersink one side (70–90°), no chipbreaker</t>
        </is>
      </c>
    </row>
    <row r="136">
      <c r="A136" t="inlineStr">
        <is>
          <t>J</t>
        </is>
      </c>
      <c r="B136" t="inlineStr">
        <is>
          <t>Hole + countersink both sides (70–90°), no chipbreaker</t>
        </is>
      </c>
    </row>
    <row r="137">
      <c r="A137" t="inlineStr">
        <is>
          <t>M</t>
        </is>
      </c>
      <c r="B137" t="inlineStr">
        <is>
          <t>Cylindrical hole, chipbreaker one side</t>
        </is>
      </c>
    </row>
    <row r="138">
      <c r="A138" t="inlineStr">
        <is>
          <t>N</t>
        </is>
      </c>
      <c r="B138" t="inlineStr">
        <is>
          <t>Cylindrical hole, chipbreaker both sides</t>
        </is>
      </c>
    </row>
    <row r="139">
      <c r="A139" t="inlineStr">
        <is>
          <t>Q</t>
        </is>
      </c>
      <c r="B139" t="inlineStr">
        <is>
          <t>Hole + countersink both sides, chipbreaker one side</t>
        </is>
      </c>
    </row>
    <row r="140">
      <c r="A140" t="inlineStr">
        <is>
          <t>T</t>
        </is>
      </c>
      <c r="B140" t="inlineStr">
        <is>
          <t>Hole + countersink one side, chipbreaker one side</t>
        </is>
      </c>
    </row>
    <row r="141">
      <c r="A141" t="inlineStr">
        <is>
          <t>U</t>
        </is>
      </c>
      <c r="B141" t="inlineStr">
        <is>
          <t>Hole + countersink both sides, chipbreaker both sides</t>
        </is>
      </c>
    </row>
    <row r="142">
      <c r="A142" t="inlineStr">
        <is>
          <t>W</t>
        </is>
      </c>
      <c r="B142" t="inlineStr">
        <is>
          <t>Hole + countersink one side (40–60°), no chipbreaker</t>
        </is>
      </c>
    </row>
    <row r="143">
      <c r="A143" t="inlineStr">
        <is>
          <t>X</t>
        </is>
      </c>
      <c r="B143" t="inlineStr">
        <is>
          <t>Special design</t>
        </is>
      </c>
    </row>
    <row r="144">
      <c r="A144" s="19" t="inlineStr">
        <is>
          <t>Positions 5–7 — size, thickness, corner radius</t>
        </is>
      </c>
    </row>
    <row r="145">
      <c r="A145" t="inlineStr">
        <is>
          <t>Inch code (3 digits)</t>
        </is>
      </c>
      <c r="B145" t="inlineStr">
        <is>
          <t>Size × 1/8 in = inscribed circle · thickness × 1/16 in · radius × 1/32 in (0 = sharp). Example: CNMG432 = 80° diamond, 1/2 in IC, 3/16 thick, 1/16 radius.</t>
        </is>
      </c>
    </row>
    <row r="146">
      <c r="A146" t="inlineStr">
        <is>
          <t>Metric code (6 digits)</t>
        </is>
      </c>
      <c r="B146" t="inlineStr">
        <is>
          <t>Size code per the ISO size table for the shape (e.g. C-shape 12 = 12.7 mm IC) · thickness code (03 = 3.18 mm, 04 = 4.76 mm) · radius in tenths of a mm (08 = 0.8 mm, 00 = sharp).</t>
        </is>
      </c>
    </row>
    <row r="147">
      <c r="A147" s="2" t="inlineStr">
        <is>
          <t>Letters after the radius are the maker’s own edge / chipbreaker codes. The app’s Reference screen decodes a full code for you.</t>
        </is>
      </c>
    </row>
    <row r="149">
      <c r="A149" s="5" t="inlineStr">
        <is>
          <t>4 — O-RING SIZES — AS568 DASH NUMBERS</t>
        </is>
      </c>
    </row>
    <row r="150">
      <c r="A150" s="3" t="inlineStr">
        <is>
          <t>Dash</t>
        </is>
      </c>
      <c r="B150" s="3" t="inlineStr">
        <is>
          <t>ID (in)</t>
        </is>
      </c>
      <c r="C150" s="3" t="inlineStr">
        <is>
          <t>OD (in)</t>
        </is>
      </c>
      <c r="D150" s="3" t="inlineStr">
        <is>
          <t>Cross-section (in)</t>
        </is>
      </c>
    </row>
    <row r="151">
      <c r="A151" t="inlineStr">
        <is>
          <t>-001</t>
        </is>
      </c>
      <c r="B151" s="11" t="n">
        <v>0.029</v>
      </c>
      <c r="C151" s="11" t="n">
        <v>0.109</v>
      </c>
      <c r="D151" s="11" t="n">
        <v>0.04</v>
      </c>
    </row>
    <row r="152">
      <c r="A152" t="inlineStr">
        <is>
          <t>-002</t>
        </is>
      </c>
      <c r="B152" s="11" t="n">
        <v>0.042</v>
      </c>
      <c r="C152" s="11" t="n">
        <v>0.122</v>
      </c>
      <c r="D152" s="11" t="n">
        <v>0.04</v>
      </c>
    </row>
    <row r="153">
      <c r="A153" t="inlineStr">
        <is>
          <t>-003</t>
        </is>
      </c>
      <c r="B153" s="11" t="n">
        <v>0.056</v>
      </c>
      <c r="C153" s="11" t="n">
        <v>0.136</v>
      </c>
      <c r="D153" s="11" t="n">
        <v>0.04</v>
      </c>
    </row>
    <row r="154">
      <c r="A154" t="inlineStr">
        <is>
          <t>-004</t>
        </is>
      </c>
      <c r="B154" s="11" t="n">
        <v>0.07000000000000001</v>
      </c>
      <c r="C154" s="11" t="n">
        <v>0.15</v>
      </c>
      <c r="D154" s="11" t="n">
        <v>0.04</v>
      </c>
    </row>
    <row r="155">
      <c r="A155" t="inlineStr">
        <is>
          <t>-005</t>
        </is>
      </c>
      <c r="B155" s="11" t="n">
        <v>0.101</v>
      </c>
      <c r="C155" s="11" t="n">
        <v>0.201</v>
      </c>
      <c r="D155" s="11" t="n">
        <v>0.05</v>
      </c>
    </row>
    <row r="156">
      <c r="A156" t="inlineStr">
        <is>
          <t>-006</t>
        </is>
      </c>
      <c r="B156" s="11" t="n">
        <v>0.114</v>
      </c>
      <c r="C156" s="11" t="n">
        <v>0.254</v>
      </c>
      <c r="D156" s="11" t="n">
        <v>0.07000000000000001</v>
      </c>
    </row>
    <row r="157">
      <c r="A157" t="inlineStr">
        <is>
          <t>-007</t>
        </is>
      </c>
      <c r="B157" s="11" t="n">
        <v>0.145</v>
      </c>
      <c r="C157" s="11" t="n">
        <v>0.285</v>
      </c>
      <c r="D157" s="11" t="n">
        <v>0.07000000000000001</v>
      </c>
    </row>
    <row r="158">
      <c r="A158" t="inlineStr">
        <is>
          <t>-008</t>
        </is>
      </c>
      <c r="B158" s="11" t="n">
        <v>0.176</v>
      </c>
      <c r="C158" s="11" t="n">
        <v>0.316</v>
      </c>
      <c r="D158" s="11" t="n">
        <v>0.07000000000000001</v>
      </c>
    </row>
    <row r="159">
      <c r="A159" t="inlineStr">
        <is>
          <t>-009</t>
        </is>
      </c>
      <c r="B159" s="11" t="n">
        <v>0.208</v>
      </c>
      <c r="C159" s="11" t="n">
        <v>0.348</v>
      </c>
      <c r="D159" s="11" t="n">
        <v>0.07000000000000001</v>
      </c>
    </row>
    <row r="160">
      <c r="A160" t="inlineStr">
        <is>
          <t>-010</t>
        </is>
      </c>
      <c r="B160" s="11" t="n">
        <v>0.239</v>
      </c>
      <c r="C160" s="11" t="n">
        <v>0.379</v>
      </c>
      <c r="D160" s="11" t="n">
        <v>0.07000000000000001</v>
      </c>
    </row>
    <row r="161">
      <c r="A161" t="inlineStr">
        <is>
          <t>-011</t>
        </is>
      </c>
      <c r="B161" s="11" t="n">
        <v>0.301</v>
      </c>
      <c r="C161" s="11" t="n">
        <v>0.441</v>
      </c>
      <c r="D161" s="11" t="n">
        <v>0.07000000000000001</v>
      </c>
    </row>
    <row r="162">
      <c r="A162" t="inlineStr">
        <is>
          <t>-012</t>
        </is>
      </c>
      <c r="B162" s="11" t="n">
        <v>0.364</v>
      </c>
      <c r="C162" s="11" t="n">
        <v>0.504</v>
      </c>
      <c r="D162" s="11" t="n">
        <v>0.07000000000000001</v>
      </c>
    </row>
    <row r="163">
      <c r="A163" t="inlineStr">
        <is>
          <t>-013</t>
        </is>
      </c>
      <c r="B163" s="11" t="n">
        <v>0.426</v>
      </c>
      <c r="C163" s="11" t="n">
        <v>0.5659999999999999</v>
      </c>
      <c r="D163" s="11" t="n">
        <v>0.07000000000000001</v>
      </c>
    </row>
    <row r="164">
      <c r="A164" t="inlineStr">
        <is>
          <t>-014</t>
        </is>
      </c>
      <c r="B164" s="11" t="n">
        <v>0.489</v>
      </c>
      <c r="C164" s="11" t="n">
        <v>0.629</v>
      </c>
      <c r="D164" s="11" t="n">
        <v>0.07000000000000001</v>
      </c>
    </row>
    <row r="165">
      <c r="A165" t="inlineStr">
        <is>
          <t>-015</t>
        </is>
      </c>
      <c r="B165" s="11" t="n">
        <v>0.551</v>
      </c>
      <c r="C165" s="11" t="n">
        <v>0.6909999999999999</v>
      </c>
      <c r="D165" s="11" t="n">
        <v>0.07000000000000001</v>
      </c>
    </row>
    <row r="166">
      <c r="A166" t="inlineStr">
        <is>
          <t>-016</t>
        </is>
      </c>
      <c r="B166" s="11" t="n">
        <v>0.614</v>
      </c>
      <c r="C166" s="11" t="n">
        <v>0.754</v>
      </c>
      <c r="D166" s="11" t="n">
        <v>0.07000000000000001</v>
      </c>
    </row>
    <row r="167">
      <c r="A167" t="inlineStr">
        <is>
          <t>-017</t>
        </is>
      </c>
      <c r="B167" s="11" t="n">
        <v>0.676</v>
      </c>
      <c r="C167" s="11" t="n">
        <v>0.8159999999999999</v>
      </c>
      <c r="D167" s="11" t="n">
        <v>0.07000000000000001</v>
      </c>
    </row>
    <row r="168">
      <c r="A168" t="inlineStr">
        <is>
          <t>-018</t>
        </is>
      </c>
      <c r="B168" s="11" t="n">
        <v>0.739</v>
      </c>
      <c r="C168" s="11" t="n">
        <v>0.879</v>
      </c>
      <c r="D168" s="11" t="n">
        <v>0.07000000000000001</v>
      </c>
    </row>
    <row r="169">
      <c r="A169" t="inlineStr">
        <is>
          <t>-019</t>
        </is>
      </c>
      <c r="B169" s="11" t="n">
        <v>0.801</v>
      </c>
      <c r="C169" s="11" t="n">
        <v>0.9409999999999999</v>
      </c>
      <c r="D169" s="11" t="n">
        <v>0.07000000000000001</v>
      </c>
    </row>
    <row r="170">
      <c r="A170" t="inlineStr">
        <is>
          <t>-020</t>
        </is>
      </c>
      <c r="B170" s="11" t="n">
        <v>0.864</v>
      </c>
      <c r="C170" s="11" t="n">
        <v>1.004</v>
      </c>
      <c r="D170" s="11" t="n">
        <v>0.07000000000000001</v>
      </c>
    </row>
    <row r="171">
      <c r="A171" t="inlineStr">
        <is>
          <t>-021</t>
        </is>
      </c>
      <c r="B171" s="11" t="n">
        <v>0.926</v>
      </c>
      <c r="C171" s="11" t="n">
        <v>1.066</v>
      </c>
      <c r="D171" s="11" t="n">
        <v>0.07000000000000001</v>
      </c>
    </row>
    <row r="172">
      <c r="A172" t="inlineStr">
        <is>
          <t>-022</t>
        </is>
      </c>
      <c r="B172" s="11" t="n">
        <v>0.989</v>
      </c>
      <c r="C172" s="11" t="n">
        <v>1.129</v>
      </c>
      <c r="D172" s="11" t="n">
        <v>0.07000000000000001</v>
      </c>
    </row>
    <row r="173">
      <c r="A173" t="inlineStr">
        <is>
          <t>-023</t>
        </is>
      </c>
      <c r="B173" s="11" t="n">
        <v>1.051</v>
      </c>
      <c r="C173" s="11" t="n">
        <v>1.191</v>
      </c>
      <c r="D173" s="11" t="n">
        <v>0.07000000000000001</v>
      </c>
    </row>
    <row r="174">
      <c r="A174" t="inlineStr">
        <is>
          <t>-024</t>
        </is>
      </c>
      <c r="B174" s="11" t="n">
        <v>1.114</v>
      </c>
      <c r="C174" s="11" t="n">
        <v>1.254</v>
      </c>
      <c r="D174" s="11" t="n">
        <v>0.07000000000000001</v>
      </c>
    </row>
    <row r="175">
      <c r="A175" t="inlineStr">
        <is>
          <t>-025</t>
        </is>
      </c>
      <c r="B175" s="11" t="n">
        <v>1.176</v>
      </c>
      <c r="C175" s="11" t="n">
        <v>1.316</v>
      </c>
      <c r="D175" s="11" t="n">
        <v>0.07000000000000001</v>
      </c>
    </row>
    <row r="176">
      <c r="A176" t="inlineStr">
        <is>
          <t>-026</t>
        </is>
      </c>
      <c r="B176" s="11" t="n">
        <v>1.239</v>
      </c>
      <c r="C176" s="11" t="n">
        <v>1.379</v>
      </c>
      <c r="D176" s="11" t="n">
        <v>0.07000000000000001</v>
      </c>
    </row>
    <row r="177">
      <c r="A177" t="inlineStr">
        <is>
          <t>-027</t>
        </is>
      </c>
      <c r="B177" s="11" t="n">
        <v>1.301</v>
      </c>
      <c r="C177" s="11" t="n">
        <v>1.441</v>
      </c>
      <c r="D177" s="11" t="n">
        <v>0.07000000000000001</v>
      </c>
    </row>
    <row r="178">
      <c r="A178" t="inlineStr">
        <is>
          <t>-028</t>
        </is>
      </c>
      <c r="B178" s="11" t="n">
        <v>1.364</v>
      </c>
      <c r="C178" s="11" t="n">
        <v>1.504</v>
      </c>
      <c r="D178" s="11" t="n">
        <v>0.07000000000000001</v>
      </c>
    </row>
    <row r="179">
      <c r="A179" t="inlineStr">
        <is>
          <t>-102</t>
        </is>
      </c>
      <c r="B179" s="11" t="n">
        <v>0.049</v>
      </c>
      <c r="C179" s="11" t="n">
        <v>0.255</v>
      </c>
      <c r="D179" s="11" t="n">
        <v>0.103</v>
      </c>
    </row>
    <row r="180">
      <c r="A180" t="inlineStr">
        <is>
          <t>-103</t>
        </is>
      </c>
      <c r="B180" s="11" t="n">
        <v>0.081</v>
      </c>
      <c r="C180" s="11" t="n">
        <v>0.287</v>
      </c>
      <c r="D180" s="11" t="n">
        <v>0.103</v>
      </c>
    </row>
    <row r="181">
      <c r="A181" t="inlineStr">
        <is>
          <t>-104</t>
        </is>
      </c>
      <c r="B181" s="11" t="n">
        <v>0.112</v>
      </c>
      <c r="C181" s="11" t="n">
        <v>0.318</v>
      </c>
      <c r="D181" s="11" t="n">
        <v>0.103</v>
      </c>
    </row>
    <row r="182">
      <c r="A182" t="inlineStr">
        <is>
          <t>-105</t>
        </is>
      </c>
      <c r="B182" s="11" t="n">
        <v>0.143</v>
      </c>
      <c r="C182" s="11" t="n">
        <v>0.349</v>
      </c>
      <c r="D182" s="11" t="n">
        <v>0.103</v>
      </c>
    </row>
    <row r="183">
      <c r="A183" t="inlineStr">
        <is>
          <t>-106</t>
        </is>
      </c>
      <c r="B183" s="11" t="n">
        <v>0.174</v>
      </c>
      <c r="C183" s="11" t="n">
        <v>0.38</v>
      </c>
      <c r="D183" s="11" t="n">
        <v>0.103</v>
      </c>
    </row>
    <row r="184">
      <c r="A184" t="inlineStr">
        <is>
          <t>-107</t>
        </is>
      </c>
      <c r="B184" s="11" t="n">
        <v>0.206</v>
      </c>
      <c r="C184" s="11" t="n">
        <v>0.412</v>
      </c>
      <c r="D184" s="11" t="n">
        <v>0.103</v>
      </c>
    </row>
    <row r="185">
      <c r="A185" t="inlineStr">
        <is>
          <t>-108</t>
        </is>
      </c>
      <c r="B185" s="11" t="n">
        <v>0.237</v>
      </c>
      <c r="C185" s="11" t="n">
        <v>0.443</v>
      </c>
      <c r="D185" s="11" t="n">
        <v>0.103</v>
      </c>
    </row>
    <row r="186">
      <c r="A186" t="inlineStr">
        <is>
          <t>-109</t>
        </is>
      </c>
      <c r="B186" s="11" t="n">
        <v>0.299</v>
      </c>
      <c r="C186" s="11" t="n">
        <v>0.505</v>
      </c>
      <c r="D186" s="11" t="n">
        <v>0.103</v>
      </c>
    </row>
    <row r="187">
      <c r="A187" t="inlineStr">
        <is>
          <t>-110</t>
        </is>
      </c>
      <c r="B187" s="11" t="n">
        <v>0.362</v>
      </c>
      <c r="C187" s="11" t="n">
        <v>0.5679999999999999</v>
      </c>
      <c r="D187" s="11" t="n">
        <v>0.103</v>
      </c>
    </row>
    <row r="188">
      <c r="A188" t="inlineStr">
        <is>
          <t>-111</t>
        </is>
      </c>
      <c r="B188" s="11" t="n">
        <v>0.424</v>
      </c>
      <c r="C188" s="11" t="n">
        <v>0.63</v>
      </c>
      <c r="D188" s="11" t="n">
        <v>0.103</v>
      </c>
    </row>
    <row r="189">
      <c r="A189" t="inlineStr">
        <is>
          <t>-112</t>
        </is>
      </c>
      <c r="B189" s="11" t="n">
        <v>0.487</v>
      </c>
      <c r="C189" s="11" t="n">
        <v>0.6929999999999999</v>
      </c>
      <c r="D189" s="11" t="n">
        <v>0.103</v>
      </c>
    </row>
    <row r="190">
      <c r="A190" t="inlineStr">
        <is>
          <t>-113</t>
        </is>
      </c>
      <c r="B190" s="11" t="n">
        <v>0.549</v>
      </c>
      <c r="C190" s="11" t="n">
        <v>0.755</v>
      </c>
      <c r="D190" s="11" t="n">
        <v>0.103</v>
      </c>
    </row>
    <row r="191">
      <c r="A191" t="inlineStr">
        <is>
          <t>-114</t>
        </is>
      </c>
      <c r="B191" s="11" t="n">
        <v>0.612</v>
      </c>
      <c r="C191" s="11" t="n">
        <v>0.8179999999999999</v>
      </c>
      <c r="D191" s="11" t="n">
        <v>0.103</v>
      </c>
    </row>
    <row r="192">
      <c r="A192" t="inlineStr">
        <is>
          <t>-115</t>
        </is>
      </c>
      <c r="B192" s="11" t="n">
        <v>0.674</v>
      </c>
      <c r="C192" s="11" t="n">
        <v>0.88</v>
      </c>
      <c r="D192" s="11" t="n">
        <v>0.103</v>
      </c>
    </row>
    <row r="193">
      <c r="A193" t="inlineStr">
        <is>
          <t>-116</t>
        </is>
      </c>
      <c r="B193" s="11" t="n">
        <v>0.737</v>
      </c>
      <c r="C193" s="11" t="n">
        <v>0.9429999999999999</v>
      </c>
      <c r="D193" s="11" t="n">
        <v>0.103</v>
      </c>
    </row>
    <row r="194">
      <c r="A194" t="inlineStr">
        <is>
          <t>-117</t>
        </is>
      </c>
      <c r="B194" s="11" t="n">
        <v>0.799</v>
      </c>
      <c r="C194" s="11" t="n">
        <v>1.005</v>
      </c>
      <c r="D194" s="11" t="n">
        <v>0.103</v>
      </c>
    </row>
    <row r="195">
      <c r="A195" t="inlineStr">
        <is>
          <t>-118</t>
        </is>
      </c>
      <c r="B195" s="11" t="n">
        <v>0.862</v>
      </c>
      <c r="C195" s="11" t="n">
        <v>1.068</v>
      </c>
      <c r="D195" s="11" t="n">
        <v>0.103</v>
      </c>
    </row>
    <row r="196">
      <c r="A196" t="inlineStr">
        <is>
          <t>-119</t>
        </is>
      </c>
      <c r="B196" s="11" t="n">
        <v>0.924</v>
      </c>
      <c r="C196" s="11" t="n">
        <v>1.13</v>
      </c>
      <c r="D196" s="11" t="n">
        <v>0.103</v>
      </c>
    </row>
    <row r="197">
      <c r="A197" t="inlineStr">
        <is>
          <t>-120</t>
        </is>
      </c>
      <c r="B197" s="11" t="n">
        <v>0.987</v>
      </c>
      <c r="C197" s="11" t="n">
        <v>1.193</v>
      </c>
      <c r="D197" s="11" t="n">
        <v>0.103</v>
      </c>
    </row>
    <row r="198">
      <c r="A198" t="inlineStr">
        <is>
          <t>-121</t>
        </is>
      </c>
      <c r="B198" s="11" t="n">
        <v>1.049</v>
      </c>
      <c r="C198" s="11" t="n">
        <v>1.255</v>
      </c>
      <c r="D198" s="11" t="n">
        <v>0.103</v>
      </c>
    </row>
    <row r="199">
      <c r="A199" t="inlineStr">
        <is>
          <t>-122</t>
        </is>
      </c>
      <c r="B199" s="11" t="n">
        <v>1.112</v>
      </c>
      <c r="C199" s="11" t="n">
        <v>1.318</v>
      </c>
      <c r="D199" s="11" t="n">
        <v>0.103</v>
      </c>
    </row>
    <row r="200">
      <c r="A200" t="inlineStr">
        <is>
          <t>-123</t>
        </is>
      </c>
      <c r="B200" s="11" t="n">
        <v>1.174</v>
      </c>
      <c r="C200" s="11" t="n">
        <v>1.38</v>
      </c>
      <c r="D200" s="11" t="n">
        <v>0.103</v>
      </c>
    </row>
    <row r="201">
      <c r="A201" t="inlineStr">
        <is>
          <t>-124</t>
        </is>
      </c>
      <c r="B201" s="11" t="n">
        <v>1.237</v>
      </c>
      <c r="C201" s="11" t="n">
        <v>1.443</v>
      </c>
      <c r="D201" s="11" t="n">
        <v>0.103</v>
      </c>
    </row>
    <row r="202">
      <c r="A202" t="inlineStr">
        <is>
          <t>-125</t>
        </is>
      </c>
      <c r="B202" s="11" t="n">
        <v>1.299</v>
      </c>
      <c r="C202" s="11" t="n">
        <v>1.505</v>
      </c>
      <c r="D202" s="11" t="n">
        <v>0.103</v>
      </c>
    </row>
    <row r="203">
      <c r="A203" t="inlineStr">
        <is>
          <t>-126</t>
        </is>
      </c>
      <c r="B203" s="11" t="n">
        <v>1.362</v>
      </c>
      <c r="C203" s="11" t="n">
        <v>1.568</v>
      </c>
      <c r="D203" s="11" t="n">
        <v>0.103</v>
      </c>
    </row>
    <row r="204">
      <c r="A204" t="inlineStr">
        <is>
          <t>-127</t>
        </is>
      </c>
      <c r="B204" s="11" t="n">
        <v>1.424</v>
      </c>
      <c r="C204" s="11" t="n">
        <v>1.63</v>
      </c>
      <c r="D204" s="11" t="n">
        <v>0.103</v>
      </c>
    </row>
    <row r="205">
      <c r="A205" t="inlineStr">
        <is>
          <t>-128</t>
        </is>
      </c>
      <c r="B205" s="11" t="n">
        <v>1.487</v>
      </c>
      <c r="C205" s="11" t="n">
        <v>1.693</v>
      </c>
      <c r="D205" s="11" t="n">
        <v>0.103</v>
      </c>
    </row>
    <row r="206">
      <c r="A206" t="inlineStr">
        <is>
          <t>-129</t>
        </is>
      </c>
      <c r="B206" s="11" t="n">
        <v>1.549</v>
      </c>
      <c r="C206" s="11" t="n">
        <v>1.755</v>
      </c>
      <c r="D206" s="11" t="n">
        <v>0.103</v>
      </c>
    </row>
    <row r="207">
      <c r="A207" t="inlineStr">
        <is>
          <t>-130</t>
        </is>
      </c>
      <c r="B207" s="11" t="n">
        <v>1.612</v>
      </c>
      <c r="C207" s="11" t="n">
        <v>1.818</v>
      </c>
      <c r="D207" s="11" t="n">
        <v>0.103</v>
      </c>
    </row>
    <row r="208">
      <c r="A208" t="inlineStr">
        <is>
          <t>-131</t>
        </is>
      </c>
      <c r="B208" s="11" t="n">
        <v>1.674</v>
      </c>
      <c r="C208" s="11" t="n">
        <v>1.88</v>
      </c>
      <c r="D208" s="11" t="n">
        <v>0.103</v>
      </c>
    </row>
    <row r="209">
      <c r="A209" t="inlineStr">
        <is>
          <t>-132</t>
        </is>
      </c>
      <c r="B209" s="11" t="n">
        <v>1.737</v>
      </c>
      <c r="C209" s="11" t="n">
        <v>1.943</v>
      </c>
      <c r="D209" s="11" t="n">
        <v>0.103</v>
      </c>
    </row>
    <row r="210">
      <c r="A210" t="inlineStr">
        <is>
          <t>-133</t>
        </is>
      </c>
      <c r="B210" s="11" t="n">
        <v>1.799</v>
      </c>
      <c r="C210" s="11" t="n">
        <v>2.005</v>
      </c>
      <c r="D210" s="11" t="n">
        <v>0.103</v>
      </c>
    </row>
    <row r="211">
      <c r="A211" t="inlineStr">
        <is>
          <t>-134</t>
        </is>
      </c>
      <c r="B211" s="11" t="n">
        <v>1.862</v>
      </c>
      <c r="C211" s="11" t="n">
        <v>2.068</v>
      </c>
      <c r="D211" s="11" t="n">
        <v>0.103</v>
      </c>
    </row>
    <row r="212">
      <c r="A212" t="inlineStr">
        <is>
          <t>-135</t>
        </is>
      </c>
      <c r="B212" s="11" t="n">
        <v>1.924</v>
      </c>
      <c r="C212" s="11" t="n">
        <v>2.13</v>
      </c>
      <c r="D212" s="11" t="n">
        <v>0.103</v>
      </c>
    </row>
    <row r="213">
      <c r="A213" t="inlineStr">
        <is>
          <t>-136</t>
        </is>
      </c>
      <c r="B213" s="11" t="n">
        <v>1.987</v>
      </c>
      <c r="C213" s="11" t="n">
        <v>2.193</v>
      </c>
      <c r="D213" s="11" t="n">
        <v>0.103</v>
      </c>
    </row>
    <row r="214">
      <c r="A214" t="inlineStr">
        <is>
          <t>-137</t>
        </is>
      </c>
      <c r="B214" s="11" t="n">
        <v>2.049</v>
      </c>
      <c r="C214" s="11" t="n">
        <v>2.255</v>
      </c>
      <c r="D214" s="11" t="n">
        <v>0.103</v>
      </c>
    </row>
    <row r="215">
      <c r="A215" t="inlineStr">
        <is>
          <t>-138</t>
        </is>
      </c>
      <c r="B215" s="11" t="n">
        <v>2.112</v>
      </c>
      <c r="C215" s="11" t="n">
        <v>2.318</v>
      </c>
      <c r="D215" s="11" t="n">
        <v>0.103</v>
      </c>
    </row>
    <row r="216">
      <c r="A216" t="inlineStr">
        <is>
          <t>-139</t>
        </is>
      </c>
      <c r="B216" s="11" t="n">
        <v>2.174</v>
      </c>
      <c r="C216" s="11" t="n">
        <v>2.38</v>
      </c>
      <c r="D216" s="11" t="n">
        <v>0.103</v>
      </c>
    </row>
    <row r="217">
      <c r="A217" t="inlineStr">
        <is>
          <t>-140</t>
        </is>
      </c>
      <c r="B217" s="11" t="n">
        <v>2.237</v>
      </c>
      <c r="C217" s="11" t="n">
        <v>2.443</v>
      </c>
      <c r="D217" s="11" t="n">
        <v>0.103</v>
      </c>
    </row>
    <row r="218">
      <c r="A218" t="inlineStr">
        <is>
          <t>-141</t>
        </is>
      </c>
      <c r="B218" s="11" t="n">
        <v>2.299</v>
      </c>
      <c r="C218" s="11" t="n">
        <v>2.505</v>
      </c>
      <c r="D218" s="11" t="n">
        <v>0.103</v>
      </c>
    </row>
    <row r="219">
      <c r="A219" t="inlineStr">
        <is>
          <t>-142</t>
        </is>
      </c>
      <c r="B219" s="11" t="n">
        <v>2.362</v>
      </c>
      <c r="C219" s="11" t="n">
        <v>2.568</v>
      </c>
      <c r="D219" s="11" t="n">
        <v>0.103</v>
      </c>
    </row>
    <row r="220">
      <c r="A220" t="inlineStr">
        <is>
          <t>-143</t>
        </is>
      </c>
      <c r="B220" s="11" t="n">
        <v>2.424</v>
      </c>
      <c r="C220" s="11" t="n">
        <v>2.63</v>
      </c>
      <c r="D220" s="11" t="n">
        <v>0.103</v>
      </c>
    </row>
    <row r="221">
      <c r="A221" t="inlineStr">
        <is>
          <t>-144</t>
        </is>
      </c>
      <c r="B221" s="11" t="n">
        <v>2.487</v>
      </c>
      <c r="C221" s="11" t="n">
        <v>2.693</v>
      </c>
      <c r="D221" s="11" t="n">
        <v>0.103</v>
      </c>
    </row>
    <row r="222">
      <c r="A222" t="inlineStr">
        <is>
          <t>-145</t>
        </is>
      </c>
      <c r="B222" s="11" t="n">
        <v>2.549</v>
      </c>
      <c r="C222" s="11" t="n">
        <v>2.755</v>
      </c>
      <c r="D222" s="11" t="n">
        <v>0.103</v>
      </c>
    </row>
    <row r="223">
      <c r="A223" t="inlineStr">
        <is>
          <t>-146</t>
        </is>
      </c>
      <c r="B223" s="11" t="n">
        <v>2.612</v>
      </c>
      <c r="C223" s="11" t="n">
        <v>2.818</v>
      </c>
      <c r="D223" s="11" t="n">
        <v>0.103</v>
      </c>
    </row>
    <row r="224">
      <c r="A224" t="inlineStr">
        <is>
          <t>-147</t>
        </is>
      </c>
      <c r="B224" s="11" t="n">
        <v>2.674</v>
      </c>
      <c r="C224" s="11" t="n">
        <v>2.88</v>
      </c>
      <c r="D224" s="11" t="n">
        <v>0.103</v>
      </c>
    </row>
    <row r="225">
      <c r="A225" t="inlineStr">
        <is>
          <t>-148</t>
        </is>
      </c>
      <c r="B225" s="11" t="n">
        <v>2.737</v>
      </c>
      <c r="C225" s="11" t="n">
        <v>2.943</v>
      </c>
      <c r="D225" s="11" t="n">
        <v>0.103</v>
      </c>
    </row>
    <row r="226">
      <c r="A226" t="inlineStr">
        <is>
          <t>-149</t>
        </is>
      </c>
      <c r="B226" s="11" t="n">
        <v>2.799</v>
      </c>
      <c r="C226" s="11" t="n">
        <v>3.005</v>
      </c>
      <c r="D226" s="11" t="n">
        <v>0.103</v>
      </c>
    </row>
    <row r="227">
      <c r="A227" t="inlineStr">
        <is>
          <t>-150</t>
        </is>
      </c>
      <c r="B227" s="11" t="n">
        <v>2.862</v>
      </c>
      <c r="C227" s="11" t="n">
        <v>3.068</v>
      </c>
      <c r="D227" s="11" t="n">
        <v>0.103</v>
      </c>
    </row>
    <row r="228">
      <c r="A228" t="inlineStr">
        <is>
          <t>-151</t>
        </is>
      </c>
      <c r="B228" s="11" t="n">
        <v>2.924</v>
      </c>
      <c r="C228" s="11" t="n">
        <v>3.13</v>
      </c>
      <c r="D228" s="11" t="n">
        <v>0.103</v>
      </c>
    </row>
    <row r="229">
      <c r="A229" t="inlineStr">
        <is>
          <t>-152</t>
        </is>
      </c>
      <c r="B229" s="11" t="n">
        <v>2.987</v>
      </c>
      <c r="C229" s="11" t="n">
        <v>3.193</v>
      </c>
      <c r="D229" s="11" t="n">
        <v>0.103</v>
      </c>
    </row>
    <row r="230">
      <c r="A230" t="inlineStr">
        <is>
          <t>-153</t>
        </is>
      </c>
      <c r="B230" s="11" t="n">
        <v>3.049</v>
      </c>
      <c r="C230" s="11" t="n">
        <v>3.255</v>
      </c>
      <c r="D230" s="11" t="n">
        <v>0.103</v>
      </c>
    </row>
    <row r="231">
      <c r="A231" t="inlineStr">
        <is>
          <t>-154</t>
        </is>
      </c>
      <c r="B231" s="11" t="n">
        <v>3.112</v>
      </c>
      <c r="C231" s="11" t="n">
        <v>3.318</v>
      </c>
      <c r="D231" s="11" t="n">
        <v>0.103</v>
      </c>
    </row>
    <row r="232">
      <c r="A232" t="inlineStr">
        <is>
          <t>-155</t>
        </is>
      </c>
      <c r="B232" s="11" t="n">
        <v>3.174</v>
      </c>
      <c r="C232" s="11" t="n">
        <v>3.38</v>
      </c>
      <c r="D232" s="11" t="n">
        <v>0.103</v>
      </c>
    </row>
    <row r="233">
      <c r="A233" t="inlineStr">
        <is>
          <t>-156</t>
        </is>
      </c>
      <c r="B233" s="11" t="n">
        <v>3.237</v>
      </c>
      <c r="C233" s="11" t="n">
        <v>3.443</v>
      </c>
      <c r="D233" s="11" t="n">
        <v>0.103</v>
      </c>
    </row>
    <row r="234">
      <c r="A234" t="inlineStr">
        <is>
          <t>-157</t>
        </is>
      </c>
      <c r="B234" s="11" t="n">
        <v>3.299</v>
      </c>
      <c r="C234" s="11" t="n">
        <v>3.505</v>
      </c>
      <c r="D234" s="11" t="n">
        <v>0.103</v>
      </c>
    </row>
    <row r="235">
      <c r="A235" t="inlineStr">
        <is>
          <t>-158</t>
        </is>
      </c>
      <c r="B235" s="11" t="n">
        <v>3.362</v>
      </c>
      <c r="C235" s="11" t="n">
        <v>3.568</v>
      </c>
      <c r="D235" s="11" t="n">
        <v>0.103</v>
      </c>
    </row>
    <row r="236">
      <c r="A236" t="inlineStr">
        <is>
          <t>-159</t>
        </is>
      </c>
      <c r="B236" s="11" t="n">
        <v>3.424</v>
      </c>
      <c r="C236" s="11" t="n">
        <v>3.63</v>
      </c>
      <c r="D236" s="11" t="n">
        <v>0.103</v>
      </c>
    </row>
    <row r="237">
      <c r="A237" t="inlineStr">
        <is>
          <t>-160</t>
        </is>
      </c>
      <c r="B237" s="11" t="n">
        <v>3.487</v>
      </c>
      <c r="C237" s="11" t="n">
        <v>3.693</v>
      </c>
      <c r="D237" s="11" t="n">
        <v>0.103</v>
      </c>
    </row>
    <row r="238">
      <c r="A238" t="inlineStr">
        <is>
          <t>-161</t>
        </is>
      </c>
      <c r="B238" s="11" t="n">
        <v>3.549</v>
      </c>
      <c r="C238" s="11" t="n">
        <v>3.755</v>
      </c>
      <c r="D238" s="11" t="n">
        <v>0.103</v>
      </c>
    </row>
    <row r="239">
      <c r="A239" t="inlineStr">
        <is>
          <t>-162</t>
        </is>
      </c>
      <c r="B239" s="11" t="n">
        <v>3.612</v>
      </c>
      <c r="C239" s="11" t="n">
        <v>3.818</v>
      </c>
      <c r="D239" s="11" t="n">
        <v>0.103</v>
      </c>
    </row>
    <row r="240">
      <c r="A240" t="inlineStr">
        <is>
          <t>-163</t>
        </is>
      </c>
      <c r="B240" s="11" t="n">
        <v>3.674</v>
      </c>
      <c r="C240" s="11" t="n">
        <v>3.88</v>
      </c>
      <c r="D240" s="11" t="n">
        <v>0.103</v>
      </c>
    </row>
    <row r="241">
      <c r="A241" t="inlineStr">
        <is>
          <t>-164</t>
        </is>
      </c>
      <c r="B241" s="11" t="n">
        <v>3.737</v>
      </c>
      <c r="C241" s="11" t="n">
        <v>3.943</v>
      </c>
      <c r="D241" s="11" t="n">
        <v>0.103</v>
      </c>
    </row>
    <row r="242">
      <c r="A242" t="inlineStr">
        <is>
          <t>-165</t>
        </is>
      </c>
      <c r="B242" s="11" t="n">
        <v>3.799</v>
      </c>
      <c r="C242" s="11" t="n">
        <v>4.005</v>
      </c>
      <c r="D242" s="11" t="n">
        <v>0.103</v>
      </c>
    </row>
    <row r="243">
      <c r="A243" t="inlineStr">
        <is>
          <t>-166</t>
        </is>
      </c>
      <c r="B243" s="11" t="n">
        <v>3.862</v>
      </c>
      <c r="C243" s="11" t="n">
        <v>4.068</v>
      </c>
      <c r="D243" s="11" t="n">
        <v>0.103</v>
      </c>
    </row>
    <row r="244">
      <c r="A244" t="inlineStr">
        <is>
          <t>-167</t>
        </is>
      </c>
      <c r="B244" s="11" t="n">
        <v>3.924</v>
      </c>
      <c r="C244" s="11" t="n">
        <v>4.13</v>
      </c>
      <c r="D244" s="11" t="n">
        <v>0.103</v>
      </c>
    </row>
    <row r="245">
      <c r="A245" t="inlineStr">
        <is>
          <t>-168</t>
        </is>
      </c>
      <c r="B245" s="11" t="n">
        <v>3.987</v>
      </c>
      <c r="C245" s="11" t="n">
        <v>4.193</v>
      </c>
      <c r="D245" s="11" t="n">
        <v>0.103</v>
      </c>
    </row>
    <row r="246">
      <c r="A246" t="inlineStr">
        <is>
          <t>-169</t>
        </is>
      </c>
      <c r="B246" s="11" t="n">
        <v>4.049</v>
      </c>
      <c r="C246" s="11" t="n">
        <v>4.255</v>
      </c>
      <c r="D246" s="11" t="n">
        <v>0.103</v>
      </c>
    </row>
    <row r="247">
      <c r="A247" t="inlineStr">
        <is>
          <t>-170</t>
        </is>
      </c>
      <c r="B247" s="11" t="n">
        <v>4.112</v>
      </c>
      <c r="C247" s="11" t="n">
        <v>4.318</v>
      </c>
      <c r="D247" s="11" t="n">
        <v>0.103</v>
      </c>
    </row>
    <row r="248">
      <c r="A248" t="inlineStr">
        <is>
          <t>-171</t>
        </is>
      </c>
      <c r="B248" s="11" t="n">
        <v>4.174</v>
      </c>
      <c r="C248" s="11" t="n">
        <v>4.38</v>
      </c>
      <c r="D248" s="11" t="n">
        <v>0.103</v>
      </c>
    </row>
    <row r="249">
      <c r="A249" t="inlineStr">
        <is>
          <t>-172</t>
        </is>
      </c>
      <c r="B249" s="11" t="n">
        <v>4.237</v>
      </c>
      <c r="C249" s="11" t="n">
        <v>4.443</v>
      </c>
      <c r="D249" s="11" t="n">
        <v>0.103</v>
      </c>
    </row>
    <row r="250">
      <c r="A250" t="inlineStr">
        <is>
          <t>-173</t>
        </is>
      </c>
      <c r="B250" s="11" t="n">
        <v>4.299</v>
      </c>
      <c r="C250" s="11" t="n">
        <v>4.505</v>
      </c>
      <c r="D250" s="11" t="n">
        <v>0.103</v>
      </c>
    </row>
    <row r="251">
      <c r="A251" t="inlineStr">
        <is>
          <t>-174</t>
        </is>
      </c>
      <c r="B251" s="11" t="n">
        <v>4.362</v>
      </c>
      <c r="C251" s="11" t="n">
        <v>4.568</v>
      </c>
      <c r="D251" s="11" t="n">
        <v>0.103</v>
      </c>
    </row>
    <row r="252">
      <c r="A252" t="inlineStr">
        <is>
          <t>-175</t>
        </is>
      </c>
      <c r="B252" s="11" t="n">
        <v>4.424</v>
      </c>
      <c r="C252" s="11" t="n">
        <v>4.63</v>
      </c>
      <c r="D252" s="11" t="n">
        <v>0.103</v>
      </c>
    </row>
    <row r="253">
      <c r="A253" t="inlineStr">
        <is>
          <t>-176</t>
        </is>
      </c>
      <c r="B253" s="11" t="n">
        <v>4.487</v>
      </c>
      <c r="C253" s="11" t="n">
        <v>4.693</v>
      </c>
      <c r="D253" s="11" t="n">
        <v>0.103</v>
      </c>
    </row>
    <row r="254">
      <c r="A254" t="inlineStr">
        <is>
          <t>-177</t>
        </is>
      </c>
      <c r="B254" s="11" t="n">
        <v>4.549</v>
      </c>
      <c r="C254" s="11" t="n">
        <v>4.755</v>
      </c>
      <c r="D254" s="11" t="n">
        <v>0.103</v>
      </c>
    </row>
    <row r="255">
      <c r="A255" t="inlineStr">
        <is>
          <t>-178</t>
        </is>
      </c>
      <c r="B255" s="11" t="n">
        <v>4.612</v>
      </c>
      <c r="C255" s="11" t="n">
        <v>4.818</v>
      </c>
      <c r="D255" s="11" t="n">
        <v>0.103</v>
      </c>
    </row>
    <row r="256">
      <c r="A256" t="inlineStr">
        <is>
          <t>-201</t>
        </is>
      </c>
      <c r="B256" s="11" t="n">
        <v>0.171</v>
      </c>
      <c r="C256" s="11" t="n">
        <v>0.449</v>
      </c>
      <c r="D256" s="11" t="n">
        <v>0.139</v>
      </c>
    </row>
    <row r="257">
      <c r="A257" t="inlineStr">
        <is>
          <t>-202</t>
        </is>
      </c>
      <c r="B257" s="11" t="n">
        <v>0.234</v>
      </c>
      <c r="C257" s="11" t="n">
        <v>0.512</v>
      </c>
      <c r="D257" s="11" t="n">
        <v>0.139</v>
      </c>
    </row>
    <row r="258">
      <c r="A258" t="inlineStr">
        <is>
          <t>-203</t>
        </is>
      </c>
      <c r="B258" s="11" t="n">
        <v>0.296</v>
      </c>
      <c r="C258" s="11" t="n">
        <v>0.574</v>
      </c>
      <c r="D258" s="11" t="n">
        <v>0.139</v>
      </c>
    </row>
    <row r="259">
      <c r="A259" t="inlineStr">
        <is>
          <t>-204</t>
        </is>
      </c>
      <c r="B259" s="11" t="n">
        <v>0.359</v>
      </c>
      <c r="C259" s="11" t="n">
        <v>0.637</v>
      </c>
      <c r="D259" s="11" t="n">
        <v>0.139</v>
      </c>
    </row>
    <row r="260">
      <c r="A260" t="inlineStr">
        <is>
          <t>-205</t>
        </is>
      </c>
      <c r="B260" s="11" t="n">
        <v>0.421</v>
      </c>
      <c r="C260" s="11" t="n">
        <v>0.699</v>
      </c>
      <c r="D260" s="11" t="n">
        <v>0.139</v>
      </c>
    </row>
    <row r="261">
      <c r="A261" t="inlineStr">
        <is>
          <t>-206</t>
        </is>
      </c>
      <c r="B261" s="11" t="n">
        <v>0.484</v>
      </c>
      <c r="C261" s="11" t="n">
        <v>0.762</v>
      </c>
      <c r="D261" s="11" t="n">
        <v>0.139</v>
      </c>
    </row>
    <row r="262">
      <c r="A262" t="inlineStr">
        <is>
          <t>-207</t>
        </is>
      </c>
      <c r="B262" s="11" t="n">
        <v>0.546</v>
      </c>
      <c r="C262" s="11" t="n">
        <v>0.824</v>
      </c>
      <c r="D262" s="11" t="n">
        <v>0.139</v>
      </c>
    </row>
    <row r="263">
      <c r="A263" t="inlineStr">
        <is>
          <t>-208</t>
        </is>
      </c>
      <c r="B263" s="11" t="n">
        <v>0.609</v>
      </c>
      <c r="C263" s="11" t="n">
        <v>0.887</v>
      </c>
      <c r="D263" s="11" t="n">
        <v>0.139</v>
      </c>
    </row>
    <row r="264">
      <c r="A264" t="inlineStr">
        <is>
          <t>-209</t>
        </is>
      </c>
      <c r="B264" s="11" t="n">
        <v>0.671</v>
      </c>
      <c r="C264" s="11" t="n">
        <v>0.949</v>
      </c>
      <c r="D264" s="11" t="n">
        <v>0.139</v>
      </c>
    </row>
    <row r="265">
      <c r="A265" t="inlineStr">
        <is>
          <t>-210</t>
        </is>
      </c>
      <c r="B265" s="11" t="n">
        <v>0.734</v>
      </c>
      <c r="C265" s="11" t="n">
        <v>1.012</v>
      </c>
      <c r="D265" s="11" t="n">
        <v>0.139</v>
      </c>
    </row>
    <row r="266">
      <c r="A266" t="inlineStr">
        <is>
          <t>-211</t>
        </is>
      </c>
      <c r="B266" s="11" t="n">
        <v>0.796</v>
      </c>
      <c r="C266" s="11" t="n">
        <v>1.074</v>
      </c>
      <c r="D266" s="11" t="n">
        <v>0.139</v>
      </c>
    </row>
    <row r="267">
      <c r="A267" t="inlineStr">
        <is>
          <t>-212</t>
        </is>
      </c>
      <c r="B267" s="11" t="n">
        <v>0.859</v>
      </c>
      <c r="C267" s="11" t="n">
        <v>1.137</v>
      </c>
      <c r="D267" s="11" t="n">
        <v>0.139</v>
      </c>
    </row>
    <row r="268">
      <c r="A268" t="inlineStr">
        <is>
          <t>-213</t>
        </is>
      </c>
      <c r="B268" s="11" t="n">
        <v>0.921</v>
      </c>
      <c r="C268" s="11" t="n">
        <v>1.199</v>
      </c>
      <c r="D268" s="11" t="n">
        <v>0.139</v>
      </c>
    </row>
    <row r="269">
      <c r="A269" t="inlineStr">
        <is>
          <t>-214</t>
        </is>
      </c>
      <c r="B269" s="11" t="n">
        <v>0.984</v>
      </c>
      <c r="C269" s="11" t="n">
        <v>1.262</v>
      </c>
      <c r="D269" s="11" t="n">
        <v>0.139</v>
      </c>
    </row>
    <row r="270">
      <c r="A270" t="inlineStr">
        <is>
          <t>-215</t>
        </is>
      </c>
      <c r="B270" s="11" t="n">
        <v>1.046</v>
      </c>
      <c r="C270" s="11" t="n">
        <v>1.324</v>
      </c>
      <c r="D270" s="11" t="n">
        <v>0.139</v>
      </c>
    </row>
    <row r="271">
      <c r="A271" t="inlineStr">
        <is>
          <t>-216</t>
        </is>
      </c>
      <c r="B271" s="11" t="n">
        <v>1.109</v>
      </c>
      <c r="C271" s="11" t="n">
        <v>1.387</v>
      </c>
      <c r="D271" s="11" t="n">
        <v>0.139</v>
      </c>
    </row>
    <row r="272">
      <c r="A272" t="inlineStr">
        <is>
          <t>-217</t>
        </is>
      </c>
      <c r="B272" s="11" t="n">
        <v>1.171</v>
      </c>
      <c r="C272" s="11" t="n">
        <v>1.449</v>
      </c>
      <c r="D272" s="11" t="n">
        <v>0.139</v>
      </c>
    </row>
    <row r="273">
      <c r="A273" t="inlineStr">
        <is>
          <t>-218</t>
        </is>
      </c>
      <c r="B273" s="11" t="n">
        <v>1.234</v>
      </c>
      <c r="C273" s="11" t="n">
        <v>1.512</v>
      </c>
      <c r="D273" s="11" t="n">
        <v>0.139</v>
      </c>
    </row>
    <row r="274">
      <c r="A274" t="inlineStr">
        <is>
          <t>-219</t>
        </is>
      </c>
      <c r="B274" s="11" t="n">
        <v>1.296</v>
      </c>
      <c r="C274" s="11" t="n">
        <v>1.574</v>
      </c>
      <c r="D274" s="11" t="n">
        <v>0.139</v>
      </c>
    </row>
    <row r="275">
      <c r="A275" t="inlineStr">
        <is>
          <t>-220</t>
        </is>
      </c>
      <c r="B275" s="11" t="n">
        <v>1.359</v>
      </c>
      <c r="C275" s="11" t="n">
        <v>1.637</v>
      </c>
      <c r="D275" s="11" t="n">
        <v>0.139</v>
      </c>
    </row>
    <row r="276">
      <c r="A276" t="inlineStr">
        <is>
          <t>-221</t>
        </is>
      </c>
      <c r="B276" s="11" t="n">
        <v>1.421</v>
      </c>
      <c r="C276" s="11" t="n">
        <v>1.699</v>
      </c>
      <c r="D276" s="11" t="n">
        <v>0.139</v>
      </c>
    </row>
    <row r="277">
      <c r="A277" t="inlineStr">
        <is>
          <t>-222</t>
        </is>
      </c>
      <c r="B277" s="11" t="n">
        <v>1.484</v>
      </c>
      <c r="C277" s="11" t="n">
        <v>1.762</v>
      </c>
      <c r="D277" s="11" t="n">
        <v>0.139</v>
      </c>
    </row>
    <row r="278">
      <c r="A278" t="inlineStr">
        <is>
          <t>-223</t>
        </is>
      </c>
      <c r="B278" s="11" t="n">
        <v>1.546</v>
      </c>
      <c r="C278" s="11" t="n">
        <v>1.824</v>
      </c>
      <c r="D278" s="11" t="n">
        <v>0.139</v>
      </c>
    </row>
    <row r="279">
      <c r="A279" t="inlineStr">
        <is>
          <t>-224</t>
        </is>
      </c>
      <c r="B279" s="11" t="n">
        <v>1.609</v>
      </c>
      <c r="C279" s="11" t="n">
        <v>1.887</v>
      </c>
      <c r="D279" s="11" t="n">
        <v>0.139</v>
      </c>
    </row>
    <row r="280">
      <c r="A280" t="inlineStr">
        <is>
          <t>-225</t>
        </is>
      </c>
      <c r="B280" s="11" t="n">
        <v>1.671</v>
      </c>
      <c r="C280" s="11" t="n">
        <v>1.949</v>
      </c>
      <c r="D280" s="11" t="n">
        <v>0.139</v>
      </c>
    </row>
    <row r="281">
      <c r="A281" t="inlineStr">
        <is>
          <t>-226</t>
        </is>
      </c>
      <c r="B281" s="11" t="n">
        <v>1.734</v>
      </c>
      <c r="C281" s="11" t="n">
        <v>2.012</v>
      </c>
      <c r="D281" s="11" t="n">
        <v>0.139</v>
      </c>
    </row>
    <row r="282">
      <c r="A282" t="inlineStr">
        <is>
          <t>-227</t>
        </is>
      </c>
      <c r="B282" s="11" t="n">
        <v>1.796</v>
      </c>
      <c r="C282" s="11" t="n">
        <v>2.074</v>
      </c>
      <c r="D282" s="11" t="n">
        <v>0.139</v>
      </c>
    </row>
    <row r="283">
      <c r="A283" t="inlineStr">
        <is>
          <t>-228</t>
        </is>
      </c>
      <c r="B283" s="11" t="n">
        <v>1.859</v>
      </c>
      <c r="C283" s="11" t="n">
        <v>2.137</v>
      </c>
      <c r="D283" s="11" t="n">
        <v>0.139</v>
      </c>
    </row>
    <row r="284">
      <c r="A284" t="inlineStr">
        <is>
          <t>-229</t>
        </is>
      </c>
      <c r="B284" s="11" t="n">
        <v>1.921</v>
      </c>
      <c r="C284" s="11" t="n">
        <v>2.199</v>
      </c>
      <c r="D284" s="11" t="n">
        <v>0.139</v>
      </c>
    </row>
    <row r="285">
      <c r="A285" t="inlineStr">
        <is>
          <t>-230</t>
        </is>
      </c>
      <c r="B285" s="11" t="n">
        <v>1.984</v>
      </c>
      <c r="C285" s="11" t="n">
        <v>2.262</v>
      </c>
      <c r="D285" s="11" t="n">
        <v>0.139</v>
      </c>
    </row>
    <row r="286">
      <c r="A286" t="inlineStr">
        <is>
          <t>-231</t>
        </is>
      </c>
      <c r="B286" s="11" t="n">
        <v>2.109</v>
      </c>
      <c r="C286" s="11" t="n">
        <v>2.387</v>
      </c>
      <c r="D286" s="11" t="n">
        <v>0.139</v>
      </c>
    </row>
    <row r="287">
      <c r="A287" t="inlineStr">
        <is>
          <t>-232</t>
        </is>
      </c>
      <c r="B287" s="11" t="n">
        <v>2.234</v>
      </c>
      <c r="C287" s="11" t="n">
        <v>2.512</v>
      </c>
      <c r="D287" s="11" t="n">
        <v>0.139</v>
      </c>
    </row>
    <row r="288">
      <c r="A288" t="inlineStr">
        <is>
          <t>-233</t>
        </is>
      </c>
      <c r="B288" s="11" t="n">
        <v>2.359</v>
      </c>
      <c r="C288" s="11" t="n">
        <v>2.637</v>
      </c>
      <c r="D288" s="11" t="n">
        <v>0.139</v>
      </c>
    </row>
    <row r="289">
      <c r="A289" t="inlineStr">
        <is>
          <t>-234</t>
        </is>
      </c>
      <c r="B289" s="11" t="n">
        <v>2.484</v>
      </c>
      <c r="C289" s="11" t="n">
        <v>2.762</v>
      </c>
      <c r="D289" s="11" t="n">
        <v>0.139</v>
      </c>
    </row>
    <row r="290">
      <c r="A290" t="inlineStr">
        <is>
          <t>-235</t>
        </is>
      </c>
      <c r="B290" s="11" t="n">
        <v>2.609</v>
      </c>
      <c r="C290" s="11" t="n">
        <v>2.887</v>
      </c>
      <c r="D290" s="11" t="n">
        <v>0.139</v>
      </c>
    </row>
    <row r="291">
      <c r="A291" t="inlineStr">
        <is>
          <t>-236</t>
        </is>
      </c>
      <c r="B291" s="11" t="n">
        <v>2.734</v>
      </c>
      <c r="C291" s="11" t="n">
        <v>3.012</v>
      </c>
      <c r="D291" s="11" t="n">
        <v>0.139</v>
      </c>
    </row>
    <row r="292">
      <c r="A292" t="inlineStr">
        <is>
          <t>-237</t>
        </is>
      </c>
      <c r="B292" s="11" t="n">
        <v>2.859</v>
      </c>
      <c r="C292" s="11" t="n">
        <v>3.137</v>
      </c>
      <c r="D292" s="11" t="n">
        <v>0.139</v>
      </c>
    </row>
    <row r="293">
      <c r="A293" t="inlineStr">
        <is>
          <t>-238</t>
        </is>
      </c>
      <c r="B293" s="11" t="n">
        <v>2.984</v>
      </c>
      <c r="C293" s="11" t="n">
        <v>3.262</v>
      </c>
      <c r="D293" s="11" t="n">
        <v>0.139</v>
      </c>
    </row>
    <row r="294">
      <c r="A294" t="inlineStr">
        <is>
          <t>-239</t>
        </is>
      </c>
      <c r="B294" s="11" t="n">
        <v>3.109</v>
      </c>
      <c r="C294" s="11" t="n">
        <v>3.387</v>
      </c>
      <c r="D294" s="11" t="n">
        <v>0.139</v>
      </c>
    </row>
    <row r="295">
      <c r="A295" t="inlineStr">
        <is>
          <t>-240</t>
        </is>
      </c>
      <c r="B295" s="11" t="n">
        <v>3.234</v>
      </c>
      <c r="C295" s="11" t="n">
        <v>3.512</v>
      </c>
      <c r="D295" s="11" t="n">
        <v>0.139</v>
      </c>
    </row>
    <row r="296">
      <c r="A296" t="inlineStr">
        <is>
          <t>-241</t>
        </is>
      </c>
      <c r="B296" s="11" t="n">
        <v>3.359</v>
      </c>
      <c r="C296" s="11" t="n">
        <v>3.637</v>
      </c>
      <c r="D296" s="11" t="n">
        <v>0.139</v>
      </c>
    </row>
    <row r="297">
      <c r="A297" t="inlineStr">
        <is>
          <t>-242</t>
        </is>
      </c>
      <c r="B297" s="11" t="n">
        <v>3.484</v>
      </c>
      <c r="C297" s="11" t="n">
        <v>3.762</v>
      </c>
      <c r="D297" s="11" t="n">
        <v>0.139</v>
      </c>
    </row>
    <row r="298">
      <c r="A298" t="inlineStr">
        <is>
          <t>-243</t>
        </is>
      </c>
      <c r="B298" s="11" t="n">
        <v>3.609</v>
      </c>
      <c r="C298" s="11" t="n">
        <v>3.887</v>
      </c>
      <c r="D298" s="11" t="n">
        <v>0.139</v>
      </c>
    </row>
    <row r="299">
      <c r="A299" t="inlineStr">
        <is>
          <t>-244</t>
        </is>
      </c>
      <c r="B299" s="11" t="n">
        <v>3.734</v>
      </c>
      <c r="C299" s="11" t="n">
        <v>4.012</v>
      </c>
      <c r="D299" s="11" t="n">
        <v>0.139</v>
      </c>
    </row>
    <row r="300">
      <c r="A300" t="inlineStr">
        <is>
          <t>-245</t>
        </is>
      </c>
      <c r="B300" s="11" t="n">
        <v>3.859</v>
      </c>
      <c r="C300" s="11" t="n">
        <v>4.137</v>
      </c>
      <c r="D300" s="11" t="n">
        <v>0.139</v>
      </c>
    </row>
    <row r="301">
      <c r="A301" t="inlineStr">
        <is>
          <t>-246</t>
        </is>
      </c>
      <c r="B301" s="11" t="n">
        <v>3.984</v>
      </c>
      <c r="C301" s="11" t="n">
        <v>4.262</v>
      </c>
      <c r="D301" s="11" t="n">
        <v>0.139</v>
      </c>
    </row>
    <row r="302">
      <c r="A302" t="inlineStr">
        <is>
          <t>-247</t>
        </is>
      </c>
      <c r="B302" s="11" t="n">
        <v>4.109</v>
      </c>
      <c r="C302" s="11" t="n">
        <v>4.387</v>
      </c>
      <c r="D302" s="11" t="n">
        <v>0.139</v>
      </c>
    </row>
    <row r="303">
      <c r="A303" t="inlineStr">
        <is>
          <t>-248</t>
        </is>
      </c>
      <c r="B303" s="11" t="n">
        <v>4.234</v>
      </c>
      <c r="C303" s="11" t="n">
        <v>4.512</v>
      </c>
      <c r="D303" s="11" t="n">
        <v>0.139</v>
      </c>
    </row>
    <row r="304">
      <c r="A304" t="inlineStr">
        <is>
          <t>-249</t>
        </is>
      </c>
      <c r="B304" s="11" t="n">
        <v>4.359</v>
      </c>
      <c r="C304" s="11" t="n">
        <v>4.637</v>
      </c>
      <c r="D304" s="11" t="n">
        <v>0.139</v>
      </c>
    </row>
    <row r="305">
      <c r="A305" t="inlineStr">
        <is>
          <t>-250</t>
        </is>
      </c>
      <c r="B305" s="11" t="n">
        <v>4.484</v>
      </c>
      <c r="C305" s="11" t="n">
        <v>4.762</v>
      </c>
      <c r="D305" s="11" t="n">
        <v>0.139</v>
      </c>
    </row>
    <row r="306">
      <c r="A306" s="2" t="inlineStr">
        <is>
          <t>Nominal inside diameter, outside diameter, and cross-section in inches, per AS568. Coverage: -001 through -028, the full -100 series (-102 to -178), and -201 through -250 of the -200 series. The -300 series uses a 0.210 in cross-section and the -400 series 0.275 in.</t>
        </is>
      </c>
    </row>
  </sheetData>
  <pageMargins left="0.75" right="0.75" top="1" bottom="1" header="0.5" footer="0.5"/>
  <headerFooter>
    <oddHeader>&amp;C&amp;9 H38 Quick Calc — Highway 38 Solutions</oddHeader>
    <oddFooter/>
    <evenHeader/>
    <evenFooter/>
    <firstHeader/>
    <firstFooter/>
  </headerFooter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7" customWidth="1" min="8" max="8"/>
  </cols>
  <sheetData>
    <row r="1">
      <c r="A1" s="1" t="inlineStr">
        <is>
          <t>GEARS &amp; FITS</t>
        </is>
      </c>
    </row>
    <row r="2">
      <c r="A2" s="2" t="inlineStr">
        <is>
          <t>H38 Quick Calc · Highway 38 Solutions — standard full-depth gear relations and ISO 286 hole-basis fits.</t>
        </is>
      </c>
    </row>
    <row r="4">
      <c r="A4" s="5" t="inlineStr">
        <is>
          <t>1 — GEAR — DIAMETRAL PITCH (INCH)</t>
        </is>
      </c>
    </row>
    <row r="5">
      <c r="A5" t="inlineStr">
        <is>
          <t>Teeth</t>
        </is>
      </c>
      <c r="B5" s="6" t="n">
        <v>20</v>
      </c>
    </row>
    <row r="6">
      <c r="A6" t="inlineStr">
        <is>
          <t>Diametral pitch (DP)</t>
        </is>
      </c>
      <c r="B6" s="7" t="n">
        <v>10</v>
      </c>
    </row>
    <row r="7">
      <c r="A7" s="3" t="inlineStr">
        <is>
          <t>Pitch diameter (in)</t>
        </is>
      </c>
      <c r="B7" s="20">
        <f>B5/B6</f>
        <v/>
      </c>
    </row>
    <row r="8">
      <c r="A8" s="3" t="inlineStr">
        <is>
          <t>Outside diameter (in)</t>
        </is>
      </c>
      <c r="B8" s="20">
        <f>(B5+2)/B6</f>
        <v/>
      </c>
    </row>
    <row r="9">
      <c r="A9" t="inlineStr">
        <is>
          <t>Root diameter (in)</t>
        </is>
      </c>
      <c r="B9" s="10">
        <f>(B5-2.5)/B6</f>
        <v/>
      </c>
    </row>
    <row r="10">
      <c r="A10" t="inlineStr">
        <is>
          <t>Circular pitch (in)</t>
        </is>
      </c>
      <c r="B10" s="10">
        <f>PI()/B6</f>
        <v/>
      </c>
    </row>
    <row r="11">
      <c r="A11" t="inlineStr">
        <is>
          <t>Addendum (in)</t>
        </is>
      </c>
      <c r="B11" s="10">
        <f>1/B6</f>
        <v/>
      </c>
    </row>
    <row r="12">
      <c r="A12" t="inlineStr">
        <is>
          <t>Whole depth (in)</t>
        </is>
      </c>
      <c r="B12" s="10">
        <f>2.25/B6</f>
        <v/>
      </c>
    </row>
    <row r="13">
      <c r="A13" t="inlineStr">
        <is>
          <t>Module equivalent (mm)</t>
        </is>
      </c>
      <c r="B13" s="11">
        <f>25.4/B6</f>
        <v/>
      </c>
    </row>
    <row r="15">
      <c r="A15" s="5" t="inlineStr">
        <is>
          <t>2 — GEAR — MODULE (MM)</t>
        </is>
      </c>
    </row>
    <row r="16">
      <c r="A16" t="inlineStr">
        <is>
          <t>Teeth</t>
        </is>
      </c>
      <c r="B16" s="6" t="n">
        <v>30</v>
      </c>
    </row>
    <row r="17">
      <c r="A17" t="inlineStr">
        <is>
          <t>Module (mm)</t>
        </is>
      </c>
      <c r="B17" s="17" t="n">
        <v>2</v>
      </c>
    </row>
    <row r="18">
      <c r="A18" s="3" t="inlineStr">
        <is>
          <t>Pitch diameter (mm)</t>
        </is>
      </c>
      <c r="B18" s="21">
        <f>B16*B17</f>
        <v/>
      </c>
    </row>
    <row r="19">
      <c r="A19" s="3" t="inlineStr">
        <is>
          <t>Outside diameter (mm)</t>
        </is>
      </c>
      <c r="B19" s="21">
        <f>(B16+2)*B17</f>
        <v/>
      </c>
    </row>
    <row r="20">
      <c r="A20" t="inlineStr">
        <is>
          <t>Root diameter (mm)</t>
        </is>
      </c>
      <c r="B20" s="11">
        <f>(B16-2.5)*B17</f>
        <v/>
      </c>
    </row>
    <row r="21">
      <c r="A21" t="inlineStr">
        <is>
          <t>Circular pitch (mm)</t>
        </is>
      </c>
      <c r="B21" s="11">
        <f>PI()*B17</f>
        <v/>
      </c>
    </row>
    <row r="22">
      <c r="A22" t="inlineStr">
        <is>
          <t>DP equivalent (teeth/in)</t>
        </is>
      </c>
      <c r="B22" s="11">
        <f>25.4/B17</f>
        <v/>
      </c>
    </row>
    <row r="24">
      <c r="A24" s="5" t="inlineStr">
        <is>
          <t>3 — GEAR PAIR &amp; CENTERS (DP)</t>
        </is>
      </c>
    </row>
    <row r="25">
      <c r="A25" t="inlineStr">
        <is>
          <t>Pinion teeth</t>
        </is>
      </c>
      <c r="B25" s="6" t="n">
        <v>20</v>
      </c>
    </row>
    <row r="26">
      <c r="A26" t="inlineStr">
        <is>
          <t>Gear teeth</t>
        </is>
      </c>
      <c r="B26" s="6" t="n">
        <v>40</v>
      </c>
    </row>
    <row r="27">
      <c r="A27" t="inlineStr">
        <is>
          <t>Diametral pitch (DP)</t>
        </is>
      </c>
      <c r="B27" s="7" t="n">
        <v>10</v>
      </c>
    </row>
    <row r="28">
      <c r="A28" t="inlineStr">
        <is>
          <t>Pinion RPM</t>
        </is>
      </c>
      <c r="B28" s="6" t="n">
        <v>1000</v>
      </c>
    </row>
    <row r="29">
      <c r="A29" t="inlineStr">
        <is>
          <t>Pinion pitch diameter (in)</t>
        </is>
      </c>
      <c r="B29" s="10">
        <f>B25/B27</f>
        <v/>
      </c>
    </row>
    <row r="30">
      <c r="A30" t="inlineStr">
        <is>
          <t>Gear pitch diameter (in)</t>
        </is>
      </c>
      <c r="B30" s="10">
        <f>B26/B27</f>
        <v/>
      </c>
    </row>
    <row r="31">
      <c r="A31" s="3" t="inlineStr">
        <is>
          <t>Center distance (in)</t>
        </is>
      </c>
      <c r="B31" s="20">
        <f>(B29+B30)/2</f>
        <v/>
      </c>
    </row>
    <row r="32">
      <c r="A32" t="inlineStr">
        <is>
          <t>Ratio (gear : pinion)</t>
        </is>
      </c>
      <c r="B32" s="11">
        <f>B26/B25</f>
        <v/>
      </c>
    </row>
    <row r="33">
      <c r="A33" t="inlineStr">
        <is>
          <t>Gear RPM</t>
        </is>
      </c>
      <c r="B33" s="15">
        <f>B28*B25/B26</f>
        <v/>
      </c>
    </row>
    <row r="34">
      <c r="A34" s="2" t="inlineStr">
        <is>
          <t>For a standard full-depth gear: outside dia = (teeth + 2) ÷ DP — so a measured OD and a tooth count identify the pitch (module: OD ÷ (teeth + 2)).</t>
        </is>
      </c>
    </row>
    <row r="36">
      <c r="A36" s="5" t="inlineStr">
        <is>
          <t>4 — COMMON ISO FITS (ISO 286, HOLE BASIS) — LIMITS IN MM, CLEARANCE IN µM</t>
        </is>
      </c>
    </row>
    <row r="37">
      <c r="A37" s="3" t="inlineStr">
        <is>
          <t>Size (mm)</t>
        </is>
      </c>
      <c r="B37" s="3" t="inlineStr">
        <is>
          <t>Fit</t>
        </is>
      </c>
      <c r="C37" s="3" t="inlineStr">
        <is>
          <t>Hole min</t>
        </is>
      </c>
      <c r="D37" s="3" t="inlineStr">
        <is>
          <t>Hole max</t>
        </is>
      </c>
      <c r="E37" s="3" t="inlineStr">
        <is>
          <t>Shaft min</t>
        </is>
      </c>
      <c r="F37" s="3" t="inlineStr">
        <is>
          <t>Shaft max</t>
        </is>
      </c>
      <c r="G37" s="3" t="inlineStr">
        <is>
          <t>Min clearance</t>
        </is>
      </c>
      <c r="H37" s="3" t="inlineStr">
        <is>
          <t>Max clearance</t>
        </is>
      </c>
    </row>
    <row r="38">
      <c r="A38" t="n">
        <v>10</v>
      </c>
      <c r="B38" t="inlineStr">
        <is>
          <t>H7/g6</t>
        </is>
      </c>
      <c r="C38" s="11" t="n">
        <v>10</v>
      </c>
      <c r="D38" s="11" t="n">
        <v>10.015</v>
      </c>
      <c r="E38" s="11" t="n">
        <v>9.986000000000001</v>
      </c>
      <c r="F38" s="11" t="n">
        <v>9.994999999999999</v>
      </c>
      <c r="G38" t="n">
        <v>5</v>
      </c>
      <c r="H38" t="n">
        <v>29</v>
      </c>
    </row>
    <row r="39">
      <c r="A39" t="n">
        <v>10</v>
      </c>
      <c r="B39" t="inlineStr">
        <is>
          <t>H7/f7</t>
        </is>
      </c>
      <c r="C39" s="11" t="n">
        <v>10</v>
      </c>
      <c r="D39" s="11" t="n">
        <v>10.015</v>
      </c>
      <c r="E39" s="11" t="n">
        <v>9.972</v>
      </c>
      <c r="F39" s="11" t="n">
        <v>9.987</v>
      </c>
      <c r="G39" t="n">
        <v>13</v>
      </c>
      <c r="H39" t="n">
        <v>43</v>
      </c>
    </row>
    <row r="40">
      <c r="A40" t="n">
        <v>10</v>
      </c>
      <c r="B40" t="inlineStr">
        <is>
          <t>H7/h6</t>
        </is>
      </c>
      <c r="C40" s="11" t="n">
        <v>10</v>
      </c>
      <c r="D40" s="11" t="n">
        <v>10.015</v>
      </c>
      <c r="E40" s="11" t="n">
        <v>9.991</v>
      </c>
      <c r="F40" s="11" t="n">
        <v>10</v>
      </c>
      <c r="G40" t="n">
        <v>0</v>
      </c>
      <c r="H40" t="n">
        <v>24</v>
      </c>
    </row>
    <row r="41">
      <c r="A41" t="n">
        <v>10</v>
      </c>
      <c r="B41" t="inlineStr">
        <is>
          <t>H7/k6</t>
        </is>
      </c>
      <c r="C41" s="11" t="n">
        <v>10</v>
      </c>
      <c r="D41" s="11" t="n">
        <v>10.015</v>
      </c>
      <c r="E41" s="11" t="n">
        <v>10.001</v>
      </c>
      <c r="F41" s="11" t="n">
        <v>10.01</v>
      </c>
      <c r="G41" t="n">
        <v>-10</v>
      </c>
      <c r="H41" t="n">
        <v>14</v>
      </c>
    </row>
    <row r="42">
      <c r="A42" t="n">
        <v>10</v>
      </c>
      <c r="B42" t="inlineStr">
        <is>
          <t>H7/n6</t>
        </is>
      </c>
      <c r="C42" s="11" t="n">
        <v>10</v>
      </c>
      <c r="D42" s="11" t="n">
        <v>10.015</v>
      </c>
      <c r="E42" s="11" t="n">
        <v>10.01</v>
      </c>
      <c r="F42" s="11" t="n">
        <v>10.019</v>
      </c>
      <c r="G42" t="n">
        <v>-19</v>
      </c>
      <c r="H42" t="n">
        <v>5</v>
      </c>
    </row>
    <row r="43">
      <c r="A43" t="n">
        <v>10</v>
      </c>
      <c r="B43" t="inlineStr">
        <is>
          <t>H7/p6</t>
        </is>
      </c>
      <c r="C43" s="11" t="n">
        <v>10</v>
      </c>
      <c r="D43" s="11" t="n">
        <v>10.015</v>
      </c>
      <c r="E43" s="11" t="n">
        <v>10.015</v>
      </c>
      <c r="F43" s="11" t="n">
        <v>10.024</v>
      </c>
      <c r="G43" t="n">
        <v>-24</v>
      </c>
      <c r="H43" t="n">
        <v>0</v>
      </c>
    </row>
    <row r="44">
      <c r="A44" t="n">
        <v>16</v>
      </c>
      <c r="B44" t="inlineStr">
        <is>
          <t>H7/g6</t>
        </is>
      </c>
      <c r="C44" s="11" t="n">
        <v>16</v>
      </c>
      <c r="D44" s="11" t="n">
        <v>16.018</v>
      </c>
      <c r="E44" s="11" t="n">
        <v>15.983</v>
      </c>
      <c r="F44" s="11" t="n">
        <v>15.994</v>
      </c>
      <c r="G44" t="n">
        <v>6</v>
      </c>
      <c r="H44" t="n">
        <v>35</v>
      </c>
    </row>
    <row r="45">
      <c r="A45" t="n">
        <v>16</v>
      </c>
      <c r="B45" t="inlineStr">
        <is>
          <t>H7/f7</t>
        </is>
      </c>
      <c r="C45" s="11" t="n">
        <v>16</v>
      </c>
      <c r="D45" s="11" t="n">
        <v>16.018</v>
      </c>
      <c r="E45" s="11" t="n">
        <v>15.966</v>
      </c>
      <c r="F45" s="11" t="n">
        <v>15.984</v>
      </c>
      <c r="G45" t="n">
        <v>16</v>
      </c>
      <c r="H45" t="n">
        <v>52</v>
      </c>
    </row>
    <row r="46">
      <c r="A46" t="n">
        <v>16</v>
      </c>
      <c r="B46" t="inlineStr">
        <is>
          <t>H7/h6</t>
        </is>
      </c>
      <c r="C46" s="11" t="n">
        <v>16</v>
      </c>
      <c r="D46" s="11" t="n">
        <v>16.018</v>
      </c>
      <c r="E46" s="11" t="n">
        <v>15.989</v>
      </c>
      <c r="F46" s="11" t="n">
        <v>16</v>
      </c>
      <c r="G46" t="n">
        <v>0</v>
      </c>
      <c r="H46" t="n">
        <v>29</v>
      </c>
    </row>
    <row r="47">
      <c r="A47" t="n">
        <v>16</v>
      </c>
      <c r="B47" t="inlineStr">
        <is>
          <t>H7/k6</t>
        </is>
      </c>
      <c r="C47" s="11" t="n">
        <v>16</v>
      </c>
      <c r="D47" s="11" t="n">
        <v>16.018</v>
      </c>
      <c r="E47" s="11" t="n">
        <v>16.001</v>
      </c>
      <c r="F47" s="11" t="n">
        <v>16.012</v>
      </c>
      <c r="G47" t="n">
        <v>-12</v>
      </c>
      <c r="H47" t="n">
        <v>17</v>
      </c>
    </row>
    <row r="48">
      <c r="A48" t="n">
        <v>16</v>
      </c>
      <c r="B48" t="inlineStr">
        <is>
          <t>H7/n6</t>
        </is>
      </c>
      <c r="C48" s="11" t="n">
        <v>16</v>
      </c>
      <c r="D48" s="11" t="n">
        <v>16.018</v>
      </c>
      <c r="E48" s="11" t="n">
        <v>16.012</v>
      </c>
      <c r="F48" s="11" t="n">
        <v>16.023</v>
      </c>
      <c r="G48" t="n">
        <v>-23</v>
      </c>
      <c r="H48" t="n">
        <v>6</v>
      </c>
    </row>
    <row r="49">
      <c r="A49" t="n">
        <v>16</v>
      </c>
      <c r="B49" t="inlineStr">
        <is>
          <t>H7/p6</t>
        </is>
      </c>
      <c r="C49" s="11" t="n">
        <v>16</v>
      </c>
      <c r="D49" s="11" t="n">
        <v>16.018</v>
      </c>
      <c r="E49" s="11" t="n">
        <v>16.018</v>
      </c>
      <c r="F49" s="11" t="n">
        <v>16.029</v>
      </c>
      <c r="G49" t="n">
        <v>-29</v>
      </c>
      <c r="H49" t="n">
        <v>0</v>
      </c>
    </row>
    <row r="50">
      <c r="A50" t="n">
        <v>25</v>
      </c>
      <c r="B50" t="inlineStr">
        <is>
          <t>H7/g6</t>
        </is>
      </c>
      <c r="C50" s="11" t="n">
        <v>25</v>
      </c>
      <c r="D50" s="11" t="n">
        <v>25.021</v>
      </c>
      <c r="E50" s="11" t="n">
        <v>24.98</v>
      </c>
      <c r="F50" s="11" t="n">
        <v>24.993</v>
      </c>
      <c r="G50" t="n">
        <v>7</v>
      </c>
      <c r="H50" t="n">
        <v>41</v>
      </c>
    </row>
    <row r="51">
      <c r="A51" t="n">
        <v>25</v>
      </c>
      <c r="B51" t="inlineStr">
        <is>
          <t>H7/f7</t>
        </is>
      </c>
      <c r="C51" s="11" t="n">
        <v>25</v>
      </c>
      <c r="D51" s="11" t="n">
        <v>25.021</v>
      </c>
      <c r="E51" s="11" t="n">
        <v>24.959</v>
      </c>
      <c r="F51" s="11" t="n">
        <v>24.98</v>
      </c>
      <c r="G51" t="n">
        <v>20</v>
      </c>
      <c r="H51" t="n">
        <v>62</v>
      </c>
    </row>
    <row r="52">
      <c r="A52" t="n">
        <v>25</v>
      </c>
      <c r="B52" t="inlineStr">
        <is>
          <t>H7/h6</t>
        </is>
      </c>
      <c r="C52" s="11" t="n">
        <v>25</v>
      </c>
      <c r="D52" s="11" t="n">
        <v>25.021</v>
      </c>
      <c r="E52" s="11" t="n">
        <v>24.987</v>
      </c>
      <c r="F52" s="11" t="n">
        <v>25</v>
      </c>
      <c r="G52" t="n">
        <v>0</v>
      </c>
      <c r="H52" t="n">
        <v>34</v>
      </c>
    </row>
    <row r="53">
      <c r="A53" t="n">
        <v>25</v>
      </c>
      <c r="B53" t="inlineStr">
        <is>
          <t>H7/k6</t>
        </is>
      </c>
      <c r="C53" s="11" t="n">
        <v>25</v>
      </c>
      <c r="D53" s="11" t="n">
        <v>25.021</v>
      </c>
      <c r="E53" s="11" t="n">
        <v>25.002</v>
      </c>
      <c r="F53" s="11" t="n">
        <v>25.015</v>
      </c>
      <c r="G53" t="n">
        <v>-15</v>
      </c>
      <c r="H53" t="n">
        <v>19</v>
      </c>
    </row>
    <row r="54">
      <c r="A54" t="n">
        <v>25</v>
      </c>
      <c r="B54" t="inlineStr">
        <is>
          <t>H7/n6</t>
        </is>
      </c>
      <c r="C54" s="11" t="n">
        <v>25</v>
      </c>
      <c r="D54" s="11" t="n">
        <v>25.021</v>
      </c>
      <c r="E54" s="11" t="n">
        <v>25.015</v>
      </c>
      <c r="F54" s="11" t="n">
        <v>25.028</v>
      </c>
      <c r="G54" t="n">
        <v>-28</v>
      </c>
      <c r="H54" t="n">
        <v>6</v>
      </c>
    </row>
    <row r="55">
      <c r="A55" t="n">
        <v>25</v>
      </c>
      <c r="B55" t="inlineStr">
        <is>
          <t>H7/p6</t>
        </is>
      </c>
      <c r="C55" s="11" t="n">
        <v>25</v>
      </c>
      <c r="D55" s="11" t="n">
        <v>25.021</v>
      </c>
      <c r="E55" s="11" t="n">
        <v>25.022</v>
      </c>
      <c r="F55" s="11" t="n">
        <v>25.035</v>
      </c>
      <c r="G55" t="n">
        <v>-35</v>
      </c>
      <c r="H55" t="n">
        <v>-1</v>
      </c>
    </row>
    <row r="56">
      <c r="A56" t="n">
        <v>40</v>
      </c>
      <c r="B56" t="inlineStr">
        <is>
          <t>H7/g6</t>
        </is>
      </c>
      <c r="C56" s="11" t="n">
        <v>40</v>
      </c>
      <c r="D56" s="11" t="n">
        <v>40.025</v>
      </c>
      <c r="E56" s="11" t="n">
        <v>39.975</v>
      </c>
      <c r="F56" s="11" t="n">
        <v>39.991</v>
      </c>
      <c r="G56" t="n">
        <v>9</v>
      </c>
      <c r="H56" t="n">
        <v>50</v>
      </c>
    </row>
    <row r="57">
      <c r="A57" t="n">
        <v>40</v>
      </c>
      <c r="B57" t="inlineStr">
        <is>
          <t>H7/f7</t>
        </is>
      </c>
      <c r="C57" s="11" t="n">
        <v>40</v>
      </c>
      <c r="D57" s="11" t="n">
        <v>40.025</v>
      </c>
      <c r="E57" s="11" t="n">
        <v>39.95</v>
      </c>
      <c r="F57" s="11" t="n">
        <v>39.975</v>
      </c>
      <c r="G57" t="n">
        <v>25</v>
      </c>
      <c r="H57" t="n">
        <v>75</v>
      </c>
    </row>
    <row r="58">
      <c r="A58" t="n">
        <v>40</v>
      </c>
      <c r="B58" t="inlineStr">
        <is>
          <t>H7/h6</t>
        </is>
      </c>
      <c r="C58" s="11" t="n">
        <v>40</v>
      </c>
      <c r="D58" s="11" t="n">
        <v>40.025</v>
      </c>
      <c r="E58" s="11" t="n">
        <v>39.984</v>
      </c>
      <c r="F58" s="11" t="n">
        <v>40</v>
      </c>
      <c r="G58" t="n">
        <v>0</v>
      </c>
      <c r="H58" t="n">
        <v>41</v>
      </c>
    </row>
    <row r="59">
      <c r="A59" t="n">
        <v>40</v>
      </c>
      <c r="B59" t="inlineStr">
        <is>
          <t>H7/k6</t>
        </is>
      </c>
      <c r="C59" s="11" t="n">
        <v>40</v>
      </c>
      <c r="D59" s="11" t="n">
        <v>40.025</v>
      </c>
      <c r="E59" s="11" t="n">
        <v>40.002</v>
      </c>
      <c r="F59" s="11" t="n">
        <v>40.018</v>
      </c>
      <c r="G59" t="n">
        <v>-18</v>
      </c>
      <c r="H59" t="n">
        <v>23</v>
      </c>
    </row>
    <row r="60">
      <c r="A60" t="n">
        <v>40</v>
      </c>
      <c r="B60" t="inlineStr">
        <is>
          <t>H7/n6</t>
        </is>
      </c>
      <c r="C60" s="11" t="n">
        <v>40</v>
      </c>
      <c r="D60" s="11" t="n">
        <v>40.025</v>
      </c>
      <c r="E60" s="11" t="n">
        <v>40.017</v>
      </c>
      <c r="F60" s="11" t="n">
        <v>40.033</v>
      </c>
      <c r="G60" t="n">
        <v>-33</v>
      </c>
      <c r="H60" t="n">
        <v>8</v>
      </c>
    </row>
    <row r="61">
      <c r="A61" t="n">
        <v>40</v>
      </c>
      <c r="B61" t="inlineStr">
        <is>
          <t>H7/p6</t>
        </is>
      </c>
      <c r="C61" s="11" t="n">
        <v>40</v>
      </c>
      <c r="D61" s="11" t="n">
        <v>40.025</v>
      </c>
      <c r="E61" s="11" t="n">
        <v>40.026</v>
      </c>
      <c r="F61" s="11" t="n">
        <v>40.042</v>
      </c>
      <c r="G61" t="n">
        <v>-42</v>
      </c>
      <c r="H61" t="n">
        <v>-1</v>
      </c>
    </row>
    <row r="62">
      <c r="A62" t="n">
        <v>50</v>
      </c>
      <c r="B62" t="inlineStr">
        <is>
          <t>H7/g6</t>
        </is>
      </c>
      <c r="C62" s="11" t="n">
        <v>50</v>
      </c>
      <c r="D62" s="11" t="n">
        <v>50.025</v>
      </c>
      <c r="E62" s="11" t="n">
        <v>49.975</v>
      </c>
      <c r="F62" s="11" t="n">
        <v>49.991</v>
      </c>
      <c r="G62" t="n">
        <v>9</v>
      </c>
      <c r="H62" t="n">
        <v>50</v>
      </c>
    </row>
    <row r="63">
      <c r="A63" t="n">
        <v>50</v>
      </c>
      <c r="B63" t="inlineStr">
        <is>
          <t>H7/f7</t>
        </is>
      </c>
      <c r="C63" s="11" t="n">
        <v>50</v>
      </c>
      <c r="D63" s="11" t="n">
        <v>50.025</v>
      </c>
      <c r="E63" s="11" t="n">
        <v>49.95</v>
      </c>
      <c r="F63" s="11" t="n">
        <v>49.975</v>
      </c>
      <c r="G63" t="n">
        <v>25</v>
      </c>
      <c r="H63" t="n">
        <v>75</v>
      </c>
    </row>
    <row r="64">
      <c r="A64" t="n">
        <v>50</v>
      </c>
      <c r="B64" t="inlineStr">
        <is>
          <t>H7/h6</t>
        </is>
      </c>
      <c r="C64" s="11" t="n">
        <v>50</v>
      </c>
      <c r="D64" s="11" t="n">
        <v>50.025</v>
      </c>
      <c r="E64" s="11" t="n">
        <v>49.984</v>
      </c>
      <c r="F64" s="11" t="n">
        <v>50</v>
      </c>
      <c r="G64" t="n">
        <v>0</v>
      </c>
      <c r="H64" t="n">
        <v>41</v>
      </c>
    </row>
    <row r="65">
      <c r="A65" t="n">
        <v>50</v>
      </c>
      <c r="B65" t="inlineStr">
        <is>
          <t>H7/k6</t>
        </is>
      </c>
      <c r="C65" s="11" t="n">
        <v>50</v>
      </c>
      <c r="D65" s="11" t="n">
        <v>50.025</v>
      </c>
      <c r="E65" s="11" t="n">
        <v>50.002</v>
      </c>
      <c r="F65" s="11" t="n">
        <v>50.018</v>
      </c>
      <c r="G65" t="n">
        <v>-18</v>
      </c>
      <c r="H65" t="n">
        <v>23</v>
      </c>
    </row>
    <row r="66">
      <c r="A66" t="n">
        <v>50</v>
      </c>
      <c r="B66" t="inlineStr">
        <is>
          <t>H7/n6</t>
        </is>
      </c>
      <c r="C66" s="11" t="n">
        <v>50</v>
      </c>
      <c r="D66" s="11" t="n">
        <v>50.025</v>
      </c>
      <c r="E66" s="11" t="n">
        <v>50.017</v>
      </c>
      <c r="F66" s="11" t="n">
        <v>50.033</v>
      </c>
      <c r="G66" t="n">
        <v>-33</v>
      </c>
      <c r="H66" t="n">
        <v>8</v>
      </c>
    </row>
    <row r="67">
      <c r="A67" t="n">
        <v>50</v>
      </c>
      <c r="B67" t="inlineStr">
        <is>
          <t>H7/p6</t>
        </is>
      </c>
      <c r="C67" s="11" t="n">
        <v>50</v>
      </c>
      <c r="D67" s="11" t="n">
        <v>50.025</v>
      </c>
      <c r="E67" s="11" t="n">
        <v>50.026</v>
      </c>
      <c r="F67" s="11" t="n">
        <v>50.042</v>
      </c>
      <c r="G67" t="n">
        <v>-42</v>
      </c>
      <c r="H67" t="n">
        <v>-1</v>
      </c>
    </row>
    <row r="68">
      <c r="A68" t="n">
        <v>80</v>
      </c>
      <c r="B68" t="inlineStr">
        <is>
          <t>H7/g6</t>
        </is>
      </c>
      <c r="C68" s="11" t="n">
        <v>80</v>
      </c>
      <c r="D68" s="11" t="n">
        <v>80.03</v>
      </c>
      <c r="E68" s="11" t="n">
        <v>79.971</v>
      </c>
      <c r="F68" s="11" t="n">
        <v>79.98999999999999</v>
      </c>
      <c r="G68" t="n">
        <v>10</v>
      </c>
      <c r="H68" t="n">
        <v>59</v>
      </c>
    </row>
    <row r="69">
      <c r="A69" t="n">
        <v>80</v>
      </c>
      <c r="B69" t="inlineStr">
        <is>
          <t>H7/f7</t>
        </is>
      </c>
      <c r="C69" s="11" t="n">
        <v>80</v>
      </c>
      <c r="D69" s="11" t="n">
        <v>80.03</v>
      </c>
      <c r="E69" s="11" t="n">
        <v>79.94</v>
      </c>
      <c r="F69" s="11" t="n">
        <v>79.97</v>
      </c>
      <c r="G69" t="n">
        <v>30</v>
      </c>
      <c r="H69" t="n">
        <v>90</v>
      </c>
    </row>
    <row r="70">
      <c r="A70" t="n">
        <v>80</v>
      </c>
      <c r="B70" t="inlineStr">
        <is>
          <t>H7/h6</t>
        </is>
      </c>
      <c r="C70" s="11" t="n">
        <v>80</v>
      </c>
      <c r="D70" s="11" t="n">
        <v>80.03</v>
      </c>
      <c r="E70" s="11" t="n">
        <v>79.98099999999999</v>
      </c>
      <c r="F70" s="11" t="n">
        <v>80</v>
      </c>
      <c r="G70" t="n">
        <v>0</v>
      </c>
      <c r="H70" t="n">
        <v>49</v>
      </c>
    </row>
    <row r="71">
      <c r="A71" t="n">
        <v>80</v>
      </c>
      <c r="B71" t="inlineStr">
        <is>
          <t>H7/k6</t>
        </is>
      </c>
      <c r="C71" s="11" t="n">
        <v>80</v>
      </c>
      <c r="D71" s="11" t="n">
        <v>80.03</v>
      </c>
      <c r="E71" s="11" t="n">
        <v>80.002</v>
      </c>
      <c r="F71" s="11" t="n">
        <v>80.021</v>
      </c>
      <c r="G71" t="n">
        <v>-21</v>
      </c>
      <c r="H71" t="n">
        <v>28</v>
      </c>
    </row>
    <row r="72">
      <c r="A72" t="n">
        <v>80</v>
      </c>
      <c r="B72" t="inlineStr">
        <is>
          <t>H7/n6</t>
        </is>
      </c>
      <c r="C72" s="11" t="n">
        <v>80</v>
      </c>
      <c r="D72" s="11" t="n">
        <v>80.03</v>
      </c>
      <c r="E72" s="11" t="n">
        <v>80.02</v>
      </c>
      <c r="F72" s="11" t="n">
        <v>80.039</v>
      </c>
      <c r="G72" t="n">
        <v>-39</v>
      </c>
      <c r="H72" t="n">
        <v>10</v>
      </c>
    </row>
    <row r="73">
      <c r="A73" t="n">
        <v>80</v>
      </c>
      <c r="B73" t="inlineStr">
        <is>
          <t>H7/p6</t>
        </is>
      </c>
      <c r="C73" s="11" t="n">
        <v>80</v>
      </c>
      <c r="D73" s="11" t="n">
        <v>80.03</v>
      </c>
      <c r="E73" s="11" t="n">
        <v>80.032</v>
      </c>
      <c r="F73" s="11" t="n">
        <v>80.051</v>
      </c>
      <c r="G73" t="n">
        <v>-51</v>
      </c>
      <c r="H73" t="n">
        <v>-2</v>
      </c>
    </row>
    <row r="74">
      <c r="A74" t="n">
        <v>25</v>
      </c>
      <c r="B74" t="inlineStr">
        <is>
          <t>H8/f7</t>
        </is>
      </c>
      <c r="C74" s="11" t="n">
        <v>25</v>
      </c>
      <c r="D74" s="11" t="n">
        <v>25.033</v>
      </c>
      <c r="E74" s="11" t="n">
        <v>24.959</v>
      </c>
      <c r="F74" s="11" t="n">
        <v>24.98</v>
      </c>
      <c r="G74" t="n">
        <v>20</v>
      </c>
      <c r="H74" t="n">
        <v>74</v>
      </c>
    </row>
    <row r="75">
      <c r="A75" t="n">
        <v>25</v>
      </c>
      <c r="B75" t="inlineStr">
        <is>
          <t>H11/h11</t>
        </is>
      </c>
      <c r="C75" s="11" t="n">
        <v>25</v>
      </c>
      <c r="D75" s="11" t="n">
        <v>25.13</v>
      </c>
      <c r="E75" s="11" t="n">
        <v>24.87</v>
      </c>
      <c r="F75" s="11" t="n">
        <v>25</v>
      </c>
      <c r="G75" t="n">
        <v>0</v>
      </c>
      <c r="H75" t="n">
        <v>260</v>
      </c>
    </row>
    <row r="76">
      <c r="A76" s="2" t="inlineStr">
        <is>
          <t>Negative clearance = interference. Computed from the ISO 286 tolerance grades and fundamental deviations — the same numbers as the published limit tables. The app’s Reference screen computes any size 1–500 mm.</t>
        </is>
      </c>
    </row>
    <row r="78">
      <c r="A78" s="5" t="inlineStr">
        <is>
          <t>5 — KEYWAYS &amp; KEYSEATS — PARALLEL KEYS (ASME B17.1)</t>
        </is>
      </c>
    </row>
    <row r="79">
      <c r="A79" s="3" t="inlineStr">
        <is>
          <t>Shaft dia (in)</t>
        </is>
      </c>
      <c r="B79" s="3" t="inlineStr">
        <is>
          <t>Key W × H</t>
        </is>
      </c>
      <c r="C79" s="3" t="inlineStr">
        <is>
          <t>Shaft keyseat depth (in)</t>
        </is>
      </c>
      <c r="D79" s="3" t="inlineStr">
        <is>
          <t>Hub keyway depth (in)</t>
        </is>
      </c>
    </row>
    <row r="80">
      <c r="A80" t="inlineStr">
        <is>
          <t>0.250–0.375</t>
        </is>
      </c>
      <c r="B80" t="inlineStr">
        <is>
          <t>3/32 × 3/32</t>
        </is>
      </c>
      <c r="C80" s="11" t="n">
        <v>0.047</v>
      </c>
      <c r="D80" s="11" t="n">
        <v>0.047</v>
      </c>
    </row>
    <row r="81">
      <c r="A81" t="inlineStr">
        <is>
          <t>0.376–0.500</t>
        </is>
      </c>
      <c r="B81" t="inlineStr">
        <is>
          <t>1/8 × 1/8</t>
        </is>
      </c>
      <c r="C81" s="11" t="n">
        <v>0.062</v>
      </c>
      <c r="D81" s="11" t="n">
        <v>0.062</v>
      </c>
    </row>
    <row r="82">
      <c r="A82" t="inlineStr">
        <is>
          <t>0.501–0.875</t>
        </is>
      </c>
      <c r="B82" t="inlineStr">
        <is>
          <t>3/16 × 3/16</t>
        </is>
      </c>
      <c r="C82" s="11" t="n">
        <v>0.094</v>
      </c>
      <c r="D82" s="11" t="n">
        <v>0.094</v>
      </c>
    </row>
    <row r="83">
      <c r="A83" t="inlineStr">
        <is>
          <t>0.876–1.250</t>
        </is>
      </c>
      <c r="B83" t="inlineStr">
        <is>
          <t>1/4 × 1/4</t>
        </is>
      </c>
      <c r="C83" s="11" t="n">
        <v>0.125</v>
      </c>
      <c r="D83" s="11" t="n">
        <v>0.125</v>
      </c>
    </row>
    <row r="84">
      <c r="A84" t="inlineStr">
        <is>
          <t>1.251–1.375</t>
        </is>
      </c>
      <c r="B84" t="inlineStr">
        <is>
          <t>5/16 × 5/16</t>
        </is>
      </c>
      <c r="C84" s="11" t="n">
        <v>0.156</v>
      </c>
      <c r="D84" s="11" t="n">
        <v>0.156</v>
      </c>
    </row>
    <row r="85">
      <c r="A85" t="inlineStr">
        <is>
          <t>1.376–1.750</t>
        </is>
      </c>
      <c r="B85" t="inlineStr">
        <is>
          <t>3/8 × 3/8</t>
        </is>
      </c>
      <c r="C85" s="11" t="n">
        <v>0.188</v>
      </c>
      <c r="D85" s="11" t="n">
        <v>0.188</v>
      </c>
    </row>
    <row r="86">
      <c r="A86" t="inlineStr">
        <is>
          <t>1.751–2.250</t>
        </is>
      </c>
      <c r="B86" t="inlineStr">
        <is>
          <t>1/2 × 1/2</t>
        </is>
      </c>
      <c r="C86" s="11" t="n">
        <v>0.25</v>
      </c>
      <c r="D86" s="11" t="n">
        <v>0.25</v>
      </c>
    </row>
    <row r="87">
      <c r="A87" t="inlineStr">
        <is>
          <t>2.251–2.750</t>
        </is>
      </c>
      <c r="B87" t="inlineStr">
        <is>
          <t>5/8 × 5/8</t>
        </is>
      </c>
      <c r="C87" s="11" t="n">
        <v>0.312</v>
      </c>
      <c r="D87" s="11" t="n">
        <v>0.312</v>
      </c>
    </row>
    <row r="88">
      <c r="A88" t="inlineStr">
        <is>
          <t>2.751–3.000</t>
        </is>
      </c>
      <c r="B88" t="inlineStr">
        <is>
          <t>3/4 × 3/4</t>
        </is>
      </c>
      <c r="C88" s="11" t="n">
        <v>0.375</v>
      </c>
      <c r="D88" s="11" t="n">
        <v>0.375</v>
      </c>
    </row>
    <row r="89">
      <c r="A89" s="2" t="inlineStr">
        <is>
          <t>Standard parallel key sizes per ASME B17.1, for shafts 1/4–3 in. Nominal depth is half the key height on both sides; the standard controls the measured dimension across the bottom of the keyseat (shaft: D − depth; hub: bore dia + depth) and the fit class — check B17.1 for production tolerances.</t>
        </is>
      </c>
    </row>
  </sheetData>
  <pageMargins left="0.75" right="0.75" top="1" bottom="1" header="0.5" footer="0.5"/>
  <headerFooter>
    <oddHeader>&amp;C&amp;9 H38 Quick Calc — Highway 38 Solutions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2026-10-28T01:47:21+00:00Z</dcterms:created>
  <dcterms:modified xmlns:dcterms="http://purl.org/dc/terms/" xmlns:xsi="http://www.w3.org/2001/XMLSchema-instance" xsi:type="dcterms:W3CDTF">2026-10-28T01:47:21+00:00Z</dcterms:modified>
</cp:coreProperties>
</file>