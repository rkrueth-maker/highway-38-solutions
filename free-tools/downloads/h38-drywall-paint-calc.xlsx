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rywall &amp; Pain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&quot;$&quot;#,##0.00"/>
    <numFmt numFmtId="165" formatCode="0.0%"/>
    <numFmt numFmtId="166" formatCode="#,##0.0"/>
    <numFmt numFmtId="167" formatCode="&quot;$&quot;#,##0.000"/>
    <numFmt numFmtId="168" formatCode="0.0000"/>
    <numFmt numFmtId="169" formatCode="0.000"/>
    <numFmt numFmtId="170" formatCode="0.0"/>
    <numFmt numFmtId="171" formatCode="&quot;$&quot;#,##0"/>
    <numFmt numFmtId="172" formatCode="#,##0.000"/>
  </numFmts>
  <fonts count="12">
    <font>
      <name val="Calibri"/>
      <family val="2"/>
      <color theme="1"/>
      <sz val="11"/>
      <scheme val="minor"/>
    </font>
    <font>
      <name val="Calibri"/>
      <b val="1"/>
      <color rgb="001B2A4E"/>
      <sz val="18"/>
    </font>
    <font>
      <name val="Calibri"/>
      <color rgb="00444444"/>
      <sz val="11"/>
    </font>
    <font>
      <name val="Calibri"/>
      <b val="1"/>
      <sz val="11"/>
    </font>
    <font>
      <name val="Calibri"/>
      <sz val="11"/>
    </font>
    <font>
      <name val="Calibri"/>
      <b val="1"/>
      <color rgb="001B2A4E"/>
      <sz val="11"/>
    </font>
    <font>
      <name val="Calibri"/>
      <b val="1"/>
      <color rgb="00FFFFFF"/>
      <sz val="14"/>
    </font>
    <font>
      <name val="Calibri"/>
      <b val="1"/>
      <color rgb="001B2A4E"/>
      <sz val="12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555555"/>
      <sz val="11"/>
    </font>
    <font>
      <name val="Calibri"/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C9A86A"/>
      </patternFill>
    </fill>
    <fill>
      <patternFill patternType="solid">
        <fgColor rgb="00FFF7D6"/>
      </patternFill>
    </fill>
  </fills>
  <borders count="8">
    <border>
      <left/>
      <right/>
      <top/>
      <bottom/>
      <diagonal/>
    </border>
    <border>
      <left style="thin">
        <color rgb="00B0B8C5"/>
      </left>
      <right style="thin">
        <color rgb="00B0B8C5"/>
      </right>
      <top style="thin">
        <color rgb="00B0B8C5"/>
      </top>
      <bottom style="thin">
        <color rgb="00B0B8C5"/>
      </bottom>
    </border>
    <border>
      <left/>
      <right/>
      <top style="thin">
        <color rgb="00B0B8C5"/>
      </top>
      <bottom/>
      <diagonal/>
    </border>
    <border>
      <left/>
      <right style="thin">
        <color rgb="00B0B8C5"/>
      </right>
      <top style="thin">
        <color rgb="00B0B8C5"/>
      </top>
      <bottom/>
      <diagonal/>
    </border>
    <border>
      <left/>
      <right/>
      <top style="thin">
        <color rgb="00B0B8C5"/>
      </top>
      <bottom style="thin">
        <color rgb="00B0B8C5"/>
      </bottom>
      <diagonal/>
    </border>
    <border>
      <left/>
      <right style="thin">
        <color rgb="00B0B8C5"/>
      </right>
      <top style="thin">
        <color rgb="00B0B8C5"/>
      </top>
      <bottom style="thin">
        <color rgb="00B0B8C5"/>
      </bottom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center"/>
    </xf>
    <xf numFmtId="0" fontId="4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165" fontId="0" fillId="0" borderId="1" pivotButton="0" quotePrefix="0" xfId="0"/>
    <xf numFmtId="0" fontId="8" fillId="0" borderId="0" applyAlignment="1" pivotButton="0" quotePrefix="0" xfId="0">
      <alignment vertical="top" wrapText="1"/>
    </xf>
    <xf numFmtId="166" fontId="0" fillId="4" borderId="1" pivotButton="0" quotePrefix="0" xfId="0"/>
    <xf numFmtId="167" fontId="0" fillId="4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8" fillId="0" borderId="0" pivotButton="0" quotePrefix="0" xfId="0"/>
    <xf numFmtId="166" fontId="3" fillId="0" borderId="1" pivotButton="0" quotePrefix="0" xfId="0"/>
    <xf numFmtId="3" fontId="3" fillId="0" borderId="1" pivotButton="0" quotePrefix="0" xfId="0"/>
    <xf numFmtId="4" fontId="0" fillId="4" borderId="1" pivotButton="0" quotePrefix="0" xfId="0"/>
    <xf numFmtId="168" fontId="0" fillId="0" borderId="1" pivotButton="0" quotePrefix="0" xfId="0"/>
    <xf numFmtId="165" fontId="3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3" borderId="0" pivotButton="0" quotePrefix="0" xfId="0"/>
    <xf numFmtId="3" fontId="4" fillId="4" borderId="6" pivotButton="0" quotePrefix="0" xfId="0"/>
    <xf numFmtId="0" fontId="4" fillId="4" borderId="6" pivotButton="0" quotePrefix="0" xfId="0"/>
    <xf numFmtId="4" fontId="4" fillId="0" borderId="6" pivotButton="0" quotePrefix="0" xfId="0"/>
    <xf numFmtId="3" fontId="4" fillId="0" borderId="6" pivotButton="0" quotePrefix="0" xfId="0"/>
    <xf numFmtId="4" fontId="3" fillId="0" borderId="6" pivotButton="0" quotePrefix="0" xfId="0"/>
    <xf numFmtId="165" fontId="3" fillId="0" borderId="6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4" fillId="0" borderId="6" pivotButton="0" quotePrefix="0" xfId="0"/>
    <xf numFmtId="4" fontId="4" fillId="4" borderId="6" pivotButton="0" quotePrefix="0" xfId="0"/>
    <xf numFmtId="3" fontId="3" fillId="0" borderId="6" pivotButton="0" quotePrefix="0" xfId="0"/>
    <xf numFmtId="0" fontId="3" fillId="0" borderId="6" pivotButton="0" quotePrefix="0" xfId="0"/>
    <xf numFmtId="169" fontId="4" fillId="0" borderId="6" pivotButton="0" quotePrefix="0" xfId="0"/>
    <xf numFmtId="168" fontId="4" fillId="0" borderId="6" pivotButton="0" quotePrefix="0" xfId="0"/>
    <xf numFmtId="170" fontId="3" fillId="0" borderId="6" pivotButton="0" quotePrefix="0" xfId="0"/>
    <xf numFmtId="164" fontId="4" fillId="4" borderId="6" pivotButton="0" quotePrefix="0" xfId="0"/>
    <xf numFmtId="164" fontId="3" fillId="0" borderId="6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wrapText="1"/>
    </xf>
    <xf numFmtId="0" fontId="6" fillId="2" borderId="0" pivotButton="0" quotePrefix="0" xfId="0"/>
    <xf numFmtId="0" fontId="2" fillId="0" borderId="0" applyAlignment="1" pivotButton="0" quotePrefix="0" xfId="0">
      <alignment wrapText="1"/>
    </xf>
    <xf numFmtId="9" fontId="4" fillId="0" borderId="0" pivotButton="0" quotePrefix="0" xfId="0"/>
    <xf numFmtId="171" fontId="4" fillId="0" borderId="0" pivotButton="0" quotePrefix="0" xfId="0"/>
    <xf numFmtId="165" fontId="4" fillId="0" borderId="0" pivotButton="0" quotePrefix="0" xfId="0"/>
    <xf numFmtId="0" fontId="8" fillId="0" borderId="0" applyAlignment="1" pivotButton="0" quotePrefix="0" xfId="0">
      <alignment wrapText="1"/>
    </xf>
    <xf numFmtId="170" fontId="4" fillId="0" borderId="0" pivotButton="0" quotePrefix="0" xfId="0"/>
    <xf numFmtId="3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1" fontId="4" fillId="0" borderId="0" pivotButton="0" quotePrefix="0" xfId="0"/>
    <xf numFmtId="169" fontId="4" fillId="0" borderId="0" pivotButton="0" quotePrefix="0" xfId="0"/>
    <xf numFmtId="10" fontId="4" fillId="4" borderId="6" pivotButton="0" quotePrefix="0" xfId="0"/>
    <xf numFmtId="0" fontId="11" fillId="0" borderId="0" pivotButton="0" quotePrefix="0" xfId="0"/>
    <xf numFmtId="165" fontId="4" fillId="4" borderId="6" pivotButton="0" quotePrefix="0" xfId="0"/>
    <xf numFmtId="164" fontId="4" fillId="0" borderId="6" pivotButton="0" quotePrefix="0" xfId="0"/>
    <xf numFmtId="165" fontId="4" fillId="0" borderId="6" pivotButton="0" quotePrefix="0" xfId="0"/>
    <xf numFmtId="166" fontId="4" fillId="4" borderId="6" pivotButton="0" quotePrefix="0" xfId="0"/>
    <xf numFmtId="10" fontId="4" fillId="0" borderId="6" pivotButton="0" quotePrefix="0" xfId="0"/>
    <xf numFmtId="166" fontId="4" fillId="0" borderId="6" pivotButton="0" quotePrefix="0" xfId="0"/>
    <xf numFmtId="166" fontId="0" fillId="0" borderId="6" pivotButton="0" quotePrefix="0" xfId="0"/>
    <xf numFmtId="165" fontId="0" fillId="0" borderId="6" pivotButton="0" quotePrefix="0" xfId="0"/>
    <xf numFmtId="166" fontId="3" fillId="0" borderId="6" pivotButton="0" quotePrefix="0" xfId="0"/>
    <xf numFmtId="3" fontId="0" fillId="0" borderId="6" pivotButton="0" quotePrefix="0" xfId="0"/>
    <xf numFmtId="168" fontId="0" fillId="0" borderId="6" pivotButton="0" quotePrefix="0" xfId="0"/>
    <xf numFmtId="4" fontId="0" fillId="0" borderId="6" pivotButton="0" quotePrefix="0" xfId="0"/>
    <xf numFmtId="0" fontId="7" fillId="3" borderId="7" pivotButton="0" quotePrefix="0" xfId="0"/>
    <xf numFmtId="0" fontId="3" fillId="0" borderId="7" pivotButton="0" quotePrefix="0" xfId="0"/>
    <xf numFmtId="0" fontId="4" fillId="0" borderId="7" pivotButton="0" quotePrefix="0" xfId="0"/>
    <xf numFmtId="0" fontId="11" fillId="0" borderId="7" applyAlignment="1" pivotButton="0" quotePrefix="0" xfId="0">
      <alignment vertical="top" wrapText="1"/>
    </xf>
    <xf numFmtId="172" fontId="0" fillId="0" borderId="1" pivotButton="0" quotePrefix="0" xfId="0"/>
    <xf numFmtId="172" fontId="4" fillId="0" borderId="1" pivotButton="0" quotePrefix="0" xfId="0"/>
    <xf numFmtId="166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80975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H38 DRYWALL &amp; PAINT CALC</t>
        </is>
      </c>
    </row>
    <row r="2">
      <c r="A2" s="2" t="inlineStr">
        <is>
          <t>By Highway 38 Solutions  -  The Drywall &amp; Painting sheet from the H38 Contractor Calc, in a book of its own</t>
        </is>
      </c>
    </row>
    <row r="3"/>
    <row r="4" ht="42" customHeight="1">
      <c r="A4" s="3" t="inlineStr">
        <is>
          <t>What this is</t>
        </is>
      </c>
      <c r="B4" s="4" t="inlineStr">
        <is>
          <t>The Drywall &amp; Painting sheet from the H38 Contractor Calc workbook, as a book you keep - drywall sheet counts, paint gallons by coats and coverage, and a quick reference for coverage &amp; sheet sizes.</t>
        </is>
      </c>
    </row>
    <row r="5" ht="42" customHeight="1">
      <c r="A5" s="3" t="inlineStr">
        <is>
          <t>Start in this order</t>
        </is>
      </c>
      <c r="B5" s="4" t="inlineStr">
        <is>
          <t>1) Drywall &amp; Painting - walls, ceiling, coats and coverage, all figured off the room you measured. One sheet - the tools run top to bottom.</t>
        </is>
      </c>
    </row>
    <row r="6" ht="42" customHeight="1">
      <c r="A6" s="3" t="inlineStr">
        <is>
          <t>Yellow cells</t>
        </is>
      </c>
      <c r="B6" s="4" t="inlineStr">
        <is>
          <t>Yellow = you type here. White / grey cells are formulas - don't type over them, or that calculation will stop working. Percent cells: type them as percents (20%), not decimals.</t>
        </is>
      </c>
    </row>
    <row r="7" ht="42" customHeight="1">
      <c r="A7" s="3" t="inlineStr">
        <is>
          <t>Example data</t>
        </is>
      </c>
      <c r="B7" s="4" t="inlineStr">
        <is>
          <t>Every calculator opens with the same example numbers as the web app, so the two match side by side. Replace them with your shop's real numbers before quoting a customer.</t>
        </is>
      </c>
    </row>
    <row r="8" ht="42" customHeight="1">
      <c r="A8" s="3" t="inlineStr">
        <is>
          <t>Estimates only</t>
        </is>
      </c>
      <c r="B8" s="4" t="inlineStr">
        <is>
          <t>Results are estimates for planning and quoting conversations - verify load calculations, code requirements, and tax figures against the governing standard (Manual J, the NEC, IRS publications) and your own books before you build, bid, or file on them.</t>
        </is>
      </c>
    </row>
    <row r="9"/>
    <row r="10">
      <c r="A10" s="5" t="inlineStr">
        <is>
          <t>Sheets:  Drywall &amp; Painting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3">
    <mergeCell ref="A2:B2"/>
    <mergeCell ref="A10:B10"/>
    <mergeCell ref="A1:B1"/>
  </mergeCells>
  <printOptions horizontalCentered="1"/>
  <pageMargins left="0.75" right="0.75" top="1" bottom="1" header="0.5" footer="0.5"/>
  <pageSetup orientation="portrait" fitToHeight="1" fitToWidth="1"/>
  <headerFooter>
    <oddHeader>&amp;C&amp;11 Highway 38 Solutions</oddHeader>
    <oddFooter/>
    <evenHeader>&amp;C&amp;11 Highway 38 Solutions</evenHeader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2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6" t="inlineStr">
        <is>
          <t>DRYWALL &amp; PAINTING - Sheets on the wall, gallons for the room</t>
        </is>
      </c>
    </row>
    <row r="2">
      <c r="A2" s="7" t="inlineStr">
        <is>
          <t>Room math for the board count and the paint run - walls, ceiling, coats and coverage, all figured off the room you measured.</t>
        </is>
      </c>
    </row>
    <row r="4" ht="20" customHeight="1">
      <c r="A4" s="8" t="inlineStr">
        <is>
          <t>1 - DRYWALL SHEETS</t>
        </is>
      </c>
    </row>
    <row r="5">
      <c r="A5" s="9" t="inlineStr">
        <is>
          <t>Room length (ft)</t>
        </is>
      </c>
      <c r="B5" s="18" t="n">
        <v>16</v>
      </c>
    </row>
    <row r="6">
      <c r="A6" s="9" t="inlineStr">
        <is>
          <t>Room width (ft)</t>
        </is>
      </c>
      <c r="B6" s="18" t="n">
        <v>12</v>
      </c>
    </row>
    <row r="7">
      <c r="A7" s="9" t="inlineStr">
        <is>
          <t>Ceiling height (ft)</t>
        </is>
      </c>
      <c r="B7" s="18" t="n">
        <v>8</v>
      </c>
    </row>
    <row r="8">
      <c r="A8" s="9" t="inlineStr">
        <is>
          <t>Covering</t>
        </is>
      </c>
      <c r="B8" s="23" t="inlineStr">
        <is>
          <t>Walls + ceiling</t>
        </is>
      </c>
      <c r="C8" s="24" t="inlineStr">
        <is>
          <t>Pick from the dropdown</t>
        </is>
      </c>
    </row>
    <row r="9">
      <c r="A9" s="9" t="inlineStr">
        <is>
          <t>Sheet size (sq ft: 32 = 4x8, 48 = 4x12)</t>
        </is>
      </c>
      <c r="B9" s="10" t="n">
        <v>32</v>
      </c>
    </row>
    <row r="10">
      <c r="A10" s="9" t="inlineStr">
        <is>
          <t>Waste &amp; cuts</t>
        </is>
      </c>
      <c r="B10" s="12" t="n">
        <v>0.1</v>
      </c>
    </row>
    <row r="11">
      <c r="A11" s="9" t="inlineStr">
        <is>
          <t>Wall area (sq ft)</t>
        </is>
      </c>
      <c r="B11" s="20">
        <f>2*(B5+B6)*B7</f>
        <v/>
      </c>
    </row>
    <row r="12">
      <c r="A12" s="9" t="inlineStr">
        <is>
          <t>Ceiling area (sq ft)</t>
        </is>
      </c>
      <c r="B12" s="20">
        <f>IF(B8="Walls + ceiling",B5*B6,0)</f>
        <v/>
      </c>
    </row>
    <row r="13">
      <c r="A13" s="9" t="inlineStr">
        <is>
          <t>Total surface (sq ft)</t>
        </is>
      </c>
      <c r="B13" s="20">
        <f>B11+B12</f>
        <v/>
      </c>
    </row>
    <row r="14">
      <c r="A14" s="14" t="inlineStr">
        <is>
          <t>SHEETS TO BUY</t>
        </is>
      </c>
      <c r="B14" s="26">
        <f>IF(B9&gt;0,CEILING(B13*(1+B10)/B9,1),0)</f>
        <v/>
      </c>
    </row>
    <row r="15" ht="28" customHeight="1">
      <c r="A15" s="17" t="inlineStr">
        <is>
          <t>Doors and windows are not subtracted on purpose - the cut pieces around them are where the waste allowance goes. Long sheets (4 x 12) mean fewer butt joints to finish on long walls.</t>
        </is>
      </c>
    </row>
    <row r="17" ht="20" customHeight="1">
      <c r="A17" s="8" t="inlineStr">
        <is>
          <t>2 - PAINT GALLONS</t>
        </is>
      </c>
    </row>
    <row r="18">
      <c r="A18" s="9" t="inlineStr">
        <is>
          <t>Room length (ft)</t>
        </is>
      </c>
      <c r="B18" s="18" t="n">
        <v>16</v>
      </c>
    </row>
    <row r="19">
      <c r="A19" s="9" t="inlineStr">
        <is>
          <t>Room width (ft)</t>
        </is>
      </c>
      <c r="B19" s="18" t="n">
        <v>12</v>
      </c>
    </row>
    <row r="20">
      <c r="A20" s="9" t="inlineStr">
        <is>
          <t>Ceiling height (ft)</t>
        </is>
      </c>
      <c r="B20" s="18" t="n">
        <v>8</v>
      </c>
    </row>
    <row r="21">
      <c r="A21" s="9" t="inlineStr">
        <is>
          <t>Painting</t>
        </is>
      </c>
      <c r="B21" s="23" t="inlineStr">
        <is>
          <t>Walls only</t>
        </is>
      </c>
      <c r="C21" s="24" t="inlineStr">
        <is>
          <t>Pick from the dropdown: Walls only, or Walls + ceiling</t>
        </is>
      </c>
    </row>
    <row r="22">
      <c r="A22" s="9" t="inlineStr">
        <is>
          <t>Doors (21 sq ft each)</t>
        </is>
      </c>
      <c r="B22" s="10" t="n">
        <v>2</v>
      </c>
    </row>
    <row r="23">
      <c r="A23" s="9" t="inlineStr">
        <is>
          <t>Windows (15 sq ft each)</t>
        </is>
      </c>
      <c r="B23" s="10" t="n">
        <v>2</v>
      </c>
    </row>
    <row r="24">
      <c r="A24" s="9" t="inlineStr">
        <is>
          <t>Coats</t>
        </is>
      </c>
      <c r="B24" s="10" t="n">
        <v>2</v>
      </c>
    </row>
    <row r="25">
      <c r="A25" s="9" t="inlineStr">
        <is>
          <t>Coverage per gallon (sq ft)</t>
        </is>
      </c>
      <c r="B25" s="10" t="n">
        <v>350</v>
      </c>
      <c r="C25" s="24" t="inlineStr">
        <is>
          <t>Typical - about 350 on smooth primed walls; rough or bare surfaces run 250-300</t>
        </is>
      </c>
    </row>
    <row r="26">
      <c r="A26" s="9" t="inlineStr">
        <is>
          <t>Paintable area (sq ft)</t>
        </is>
      </c>
      <c r="B26" s="20">
        <f>MAX(0,2*(B18+B19)*B20+IF(B21="Walls + ceiling",B18*B19,0)-B22*21-B23*15)</f>
        <v/>
      </c>
    </row>
    <row r="27">
      <c r="A27" s="14" t="inlineStr">
        <is>
          <t>PAINT NEEDED (gallons)</t>
        </is>
      </c>
      <c r="B27" s="25">
        <f>IF(B25&gt;0,B26*B24/B25,0)</f>
        <v/>
      </c>
    </row>
    <row r="28">
      <c r="A28" s="9" t="inlineStr">
        <is>
          <t>Buy (whole gallons)</t>
        </is>
      </c>
      <c r="B28" s="20">
        <f>CEILING(B27,1)</f>
        <v/>
      </c>
    </row>
    <row r="29" ht="28" customHeight="1">
      <c r="A29" s="17" t="inlineStr">
        <is>
          <t>The coverage on the can is for one coat on a smooth, primed surface. Bare drywall drinks the first coat - prime it and figure the primer as its own line, or the finish coats come up short.</t>
        </is>
      </c>
    </row>
    <row r="31" ht="20" customHeight="1">
      <c r="A31" s="8" t="inlineStr">
        <is>
          <t>3 - QUICK REFERENCE - COVERAGE &amp; SHEET SIZES</t>
        </is>
      </c>
    </row>
    <row r="32">
      <c r="A32" s="14" t="inlineStr">
        <is>
          <t>Paint coverage - typical, one coat</t>
        </is>
      </c>
    </row>
    <row r="33">
      <c r="A33" s="31" t="inlineStr">
        <is>
          <t>Surface</t>
        </is>
      </c>
      <c r="B33" s="31" t="inlineStr">
        <is>
          <t>Typical coverage (sq ft / gal)</t>
        </is>
      </c>
    </row>
    <row r="34">
      <c r="A34" s="30" t="inlineStr">
        <is>
          <t>Smooth, primed drywall</t>
        </is>
      </c>
      <c r="B34" s="30" t="inlineStr">
        <is>
          <t>350-400</t>
        </is>
      </c>
    </row>
    <row r="35">
      <c r="A35" s="30" t="inlineStr">
        <is>
          <t>Previously painted walls</t>
        </is>
      </c>
      <c r="B35" s="30" t="inlineStr">
        <is>
          <t>300-350</t>
        </is>
      </c>
    </row>
    <row r="36">
      <c r="A36" s="30" t="inlineStr">
        <is>
          <t>Bare drywall (unprimed)</t>
        </is>
      </c>
      <c r="B36" s="30" t="inlineStr">
        <is>
          <t>250-300</t>
        </is>
      </c>
    </row>
    <row r="37">
      <c r="A37" s="30" t="inlineStr">
        <is>
          <t>Rough texture / masonry</t>
        </is>
      </c>
      <c r="B37" s="30" t="inlineStr">
        <is>
          <t>250-300</t>
        </is>
      </c>
    </row>
    <row r="38">
      <c r="A38" s="30" t="inlineStr">
        <is>
          <t>Doors &amp; trim enamel</t>
        </is>
      </c>
      <c r="B38" s="30" t="inlineStr">
        <is>
          <t>300-350</t>
        </is>
      </c>
    </row>
    <row r="39" ht="28" customHeight="1">
      <c r="A39" s="17" t="inlineStr">
        <is>
          <t>Ranges are the paint makers' typical published figures, labeled as estimates - the can for your paint is the authority, and a hard color change can add a coat no table predicts.</t>
        </is>
      </c>
    </row>
    <row r="40">
      <c r="A40" s="14" t="inlineStr">
        <is>
          <t>Drywall sheet sizes</t>
        </is>
      </c>
    </row>
    <row r="41">
      <c r="A41" s="31" t="inlineStr">
        <is>
          <t>Sheet size</t>
        </is>
      </c>
      <c r="B41" s="31" t="inlineStr">
        <is>
          <t>Sq ft per sheet</t>
        </is>
      </c>
    </row>
    <row r="42">
      <c r="A42" s="30" t="inlineStr">
        <is>
          <t>4 x 8</t>
        </is>
      </c>
      <c r="B42" s="30" t="n">
        <v>32</v>
      </c>
    </row>
    <row r="43">
      <c r="A43" s="30" t="inlineStr">
        <is>
          <t>4 x 9</t>
        </is>
      </c>
      <c r="B43" s="30" t="n">
        <v>36</v>
      </c>
    </row>
    <row r="44">
      <c r="A44" s="30" t="inlineStr">
        <is>
          <t>4 x 10</t>
        </is>
      </c>
      <c r="B44" s="30" t="n">
        <v>40</v>
      </c>
    </row>
    <row r="45">
      <c r="A45" s="30" t="inlineStr">
        <is>
          <t>4 x 12</t>
        </is>
      </c>
      <c r="B45" s="30" t="n">
        <v>48</v>
      </c>
    </row>
    <row r="46">
      <c r="A46" s="30" t="inlineStr">
        <is>
          <t>4 x 14</t>
        </is>
      </c>
      <c r="B46" s="30" t="n">
        <v>56</v>
      </c>
    </row>
    <row r="47" ht="28" customHeight="1">
      <c r="A47" s="17" t="inlineStr">
        <is>
          <t>Sheet areas are exact (length x width). Anything over 4 x 8 is a two-person carry - and worth it where it kills a butt joint.</t>
        </is>
      </c>
    </row>
  </sheetData>
  <mergeCells count="9">
    <mergeCell ref="A47:F47"/>
    <mergeCell ref="A1:C1"/>
    <mergeCell ref="A31:F31"/>
    <mergeCell ref="A17:C17"/>
    <mergeCell ref="A15:C15"/>
    <mergeCell ref="A4:C4"/>
    <mergeCell ref="A39:F39"/>
    <mergeCell ref="A2:C2"/>
    <mergeCell ref="A29:C29"/>
  </mergeCells>
  <dataValidations count="2">
    <dataValidation sqref="B8" showDropDown="0" showInputMessage="0" showErrorMessage="0" allowBlank="0" type="list">
      <formula1>"Walls only,Walls + ceiling"</formula1>
    </dataValidation>
    <dataValidation sqref="B21" showDropDown="0" showInputMessage="0" showErrorMessage="0" allowBlank="0" type="list">
      <formula1>"Walls only,Walls + ceiling"</formula1>
    </dataValidation>
  </dataValidations>
  <printOptions horizontalCentered="1"/>
  <pageMargins left="0.75" right="0.75" top="1" bottom="1" header="0.5" footer="0.5"/>
  <pageSetup orientation="portrait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Highway 38 Solutions</dc:creator>
  <dc:title xmlns:dc="http://purl.org/dc/elements/1.1/">H38 Contractor Calc - Highway 38 Solutions</dc:title>
  <dcterms:created xmlns:dcterms="http://purl.org/dc/terms/" xmlns:xsi="http://www.w3.org/2001/XMLSchema-instance" xsi:type="dcterms:W3CDTF">2026-10-25T21:36:25Z</dcterms:created>
  <dcterms:modified xmlns:dcterms="http://purl.org/dc/terms/" xmlns:xsi="http://www.w3.org/2001/XMLSchema-instance" xsi:type="dcterms:W3CDTF">2026-10-28T03:13:40+00:00Z</dcterms:modified>
</cp:coreProperties>
</file>