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arpentry &amp; Fram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$&quot;#,##0.00"/>
    <numFmt numFmtId="165" formatCode="0.0%"/>
    <numFmt numFmtId="166" formatCode="#,##0.0"/>
    <numFmt numFmtId="167" formatCode="&quot;$&quot;#,##0.000"/>
    <numFmt numFmtId="168" formatCode="0.0000"/>
    <numFmt numFmtId="169" formatCode="0.000"/>
    <numFmt numFmtId="170" formatCode="0.0"/>
    <numFmt numFmtId="171" formatCode="&quot;$&quot;#,##0"/>
    <numFmt numFmtId="172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1B2A4E"/>
      <sz val="18"/>
    </font>
    <font>
      <name val="Calibri"/>
      <color rgb="00444444"/>
      <sz val="11"/>
    </font>
    <font>
      <name val="Calibri"/>
      <b val="1"/>
      <sz val="11"/>
    </font>
    <font>
      <name val="Calibri"/>
      <sz val="11"/>
    </font>
    <font>
      <name val="Calibri"/>
      <b val="1"/>
      <color rgb="001B2A4E"/>
      <sz val="11"/>
    </font>
    <font>
      <name val="Calibri"/>
      <b val="1"/>
      <color rgb="00FFFFFF"/>
      <sz val="14"/>
    </font>
    <font>
      <name val="Calibri"/>
      <b val="1"/>
      <color rgb="001B2A4E"/>
      <sz val="12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color rgb="00555555"/>
      <sz val="11"/>
    </font>
    <font>
      <name val="Calibri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1B2A4E"/>
      </patternFill>
    </fill>
    <fill>
      <patternFill patternType="solid">
        <fgColor rgb="00C9A86A"/>
      </patternFill>
    </fill>
    <fill>
      <patternFill patternType="solid">
        <fgColor rgb="00FFF7D6"/>
      </patternFill>
    </fill>
  </fills>
  <borders count="8">
    <border>
      <left/>
      <right/>
      <top/>
      <bottom/>
      <diagonal/>
    </border>
    <border>
      <left style="thin">
        <color rgb="00B0B8C5"/>
      </left>
      <right style="thin">
        <color rgb="00B0B8C5"/>
      </right>
      <top style="thin">
        <color rgb="00B0B8C5"/>
      </top>
      <bottom style="thin">
        <color rgb="00B0B8C5"/>
      </bottom>
    </border>
    <border>
      <left/>
      <right/>
      <top style="thin">
        <color rgb="00B0B8C5"/>
      </top>
      <bottom/>
      <diagonal/>
    </border>
    <border>
      <left/>
      <right style="thin">
        <color rgb="00B0B8C5"/>
      </right>
      <top style="thin">
        <color rgb="00B0B8C5"/>
      </top>
      <bottom/>
      <diagonal/>
    </border>
    <border>
      <left/>
      <right/>
      <top style="thin">
        <color rgb="00B0B8C5"/>
      </top>
      <bottom style="thin">
        <color rgb="00B0B8C5"/>
      </bottom>
      <diagonal/>
    </border>
    <border>
      <left/>
      <right style="thin">
        <color rgb="00B0B8C5"/>
      </right>
      <top style="thin">
        <color rgb="00B0B8C5"/>
      </top>
      <bottom style="thin">
        <color rgb="00B0B8C5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/>
    </xf>
    <xf numFmtId="0" fontId="4" fillId="0" borderId="0" pivotButton="0" quotePrefix="0" xfId="0"/>
    <xf numFmtId="3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165" fontId="0" fillId="0" borderId="1" pivotButton="0" quotePrefix="0" xfId="0"/>
    <xf numFmtId="0" fontId="8" fillId="0" borderId="0" applyAlignment="1" pivotButton="0" quotePrefix="0" xfId="0">
      <alignment vertical="top" wrapText="1"/>
    </xf>
    <xf numFmtId="166" fontId="0" fillId="4" borderId="1" pivotButton="0" quotePrefix="0" xfId="0"/>
    <xf numFmtId="167" fontId="0" fillId="4" borderId="1" pivotButton="0" quotePrefix="0" xfId="0"/>
    <xf numFmtId="3" fontId="0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0" fillId="4" borderId="1" pivotButton="0" quotePrefix="0" xfId="0"/>
    <xf numFmtId="0" fontId="8" fillId="0" borderId="0" pivotButton="0" quotePrefix="0" xfId="0"/>
    <xf numFmtId="166" fontId="3" fillId="0" borderId="1" pivotButton="0" quotePrefix="0" xfId="0"/>
    <xf numFmtId="3" fontId="3" fillId="0" borderId="1" pivotButton="0" quotePrefix="0" xfId="0"/>
    <xf numFmtId="4" fontId="0" fillId="4" borderId="1" pivotButton="0" quotePrefix="0" xfId="0"/>
    <xf numFmtId="168" fontId="0" fillId="0" borderId="1" pivotButton="0" quotePrefix="0" xfId="0"/>
    <xf numFmtId="165" fontId="3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7" fillId="3" borderId="0" pivotButton="0" quotePrefix="0" xfId="0"/>
    <xf numFmtId="3" fontId="4" fillId="4" borderId="6" pivotButton="0" quotePrefix="0" xfId="0"/>
    <xf numFmtId="0" fontId="4" fillId="4" borderId="6" pivotButton="0" quotePrefix="0" xfId="0"/>
    <xf numFmtId="4" fontId="4" fillId="0" borderId="6" pivotButton="0" quotePrefix="0" xfId="0"/>
    <xf numFmtId="3" fontId="4" fillId="0" borderId="6" pivotButton="0" quotePrefix="0" xfId="0"/>
    <xf numFmtId="4" fontId="3" fillId="0" borderId="6" pivotButton="0" quotePrefix="0" xfId="0"/>
    <xf numFmtId="165" fontId="3" fillId="0" borderId="6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4" fillId="0" borderId="6" pivotButton="0" quotePrefix="0" xfId="0"/>
    <xf numFmtId="4" fontId="4" fillId="4" borderId="6" pivotButton="0" quotePrefix="0" xfId="0"/>
    <xf numFmtId="3" fontId="3" fillId="0" borderId="6" pivotButton="0" quotePrefix="0" xfId="0"/>
    <xf numFmtId="0" fontId="3" fillId="0" borderId="6" pivotButton="0" quotePrefix="0" xfId="0"/>
    <xf numFmtId="169" fontId="4" fillId="0" borderId="6" pivotButton="0" quotePrefix="0" xfId="0"/>
    <xf numFmtId="168" fontId="4" fillId="0" borderId="6" pivotButton="0" quotePrefix="0" xfId="0"/>
    <xf numFmtId="170" fontId="3" fillId="0" borderId="6" pivotButton="0" quotePrefix="0" xfId="0"/>
    <xf numFmtId="164" fontId="4" fillId="4" borderId="6" pivotButton="0" quotePrefix="0" xfId="0"/>
    <xf numFmtId="164" fontId="3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wrapText="1"/>
    </xf>
    <xf numFmtId="0" fontId="6" fillId="2" borderId="0" pivotButton="0" quotePrefix="0" xfId="0"/>
    <xf numFmtId="0" fontId="2" fillId="0" borderId="0" applyAlignment="1" pivotButton="0" quotePrefix="0" xfId="0">
      <alignment wrapText="1"/>
    </xf>
    <xf numFmtId="9" fontId="4" fillId="0" borderId="0" pivotButton="0" quotePrefix="0" xfId="0"/>
    <xf numFmtId="171" fontId="4" fillId="0" borderId="0" pivotButton="0" quotePrefix="0" xfId="0"/>
    <xf numFmtId="165" fontId="4" fillId="0" borderId="0" pivotButton="0" quotePrefix="0" xfId="0"/>
    <xf numFmtId="0" fontId="8" fillId="0" borderId="0" applyAlignment="1" pivotButton="0" quotePrefix="0" xfId="0">
      <alignment wrapText="1"/>
    </xf>
    <xf numFmtId="170" fontId="4" fillId="0" borderId="0" pivotButton="0" quotePrefix="0" xfId="0"/>
    <xf numFmtId="3" fontId="4" fillId="0" borderId="0" pivotButton="0" quotePrefix="0" xfId="0"/>
    <xf numFmtId="2" fontId="4" fillId="0" borderId="0" pivotButton="0" quotePrefix="0" xfId="0"/>
    <xf numFmtId="168" fontId="4" fillId="0" borderId="0" pivotButton="0" quotePrefix="0" xfId="0"/>
    <xf numFmtId="1" fontId="4" fillId="0" borderId="0" pivotButton="0" quotePrefix="0" xfId="0"/>
    <xf numFmtId="169" fontId="4" fillId="0" borderId="0" pivotButton="0" quotePrefix="0" xfId="0"/>
    <xf numFmtId="10" fontId="4" fillId="4" borderId="6" pivotButton="0" quotePrefix="0" xfId="0"/>
    <xf numFmtId="0" fontId="11" fillId="0" borderId="0" pivotButton="0" quotePrefix="0" xfId="0"/>
    <xf numFmtId="165" fontId="4" fillId="4" borderId="6" pivotButton="0" quotePrefix="0" xfId="0"/>
    <xf numFmtId="164" fontId="4" fillId="0" borderId="6" pivotButton="0" quotePrefix="0" xfId="0"/>
    <xf numFmtId="165" fontId="4" fillId="0" borderId="6" pivotButton="0" quotePrefix="0" xfId="0"/>
    <xf numFmtId="166" fontId="4" fillId="4" borderId="6" pivotButton="0" quotePrefix="0" xfId="0"/>
    <xf numFmtId="10" fontId="4" fillId="0" borderId="6" pivotButton="0" quotePrefix="0" xfId="0"/>
    <xf numFmtId="166" fontId="4" fillId="0" borderId="6" pivotButton="0" quotePrefix="0" xfId="0"/>
    <xf numFmtId="166" fontId="0" fillId="0" borderId="6" pivotButton="0" quotePrefix="0" xfId="0"/>
    <xf numFmtId="165" fontId="0" fillId="0" borderId="6" pivotButton="0" quotePrefix="0" xfId="0"/>
    <xf numFmtId="166" fontId="3" fillId="0" borderId="6" pivotButton="0" quotePrefix="0" xfId="0"/>
    <xf numFmtId="3" fontId="0" fillId="0" borderId="6" pivotButton="0" quotePrefix="0" xfId="0"/>
    <xf numFmtId="168" fontId="0" fillId="0" borderId="6" pivotButton="0" quotePrefix="0" xfId="0"/>
    <xf numFmtId="4" fontId="0" fillId="0" borderId="6" pivotButton="0" quotePrefix="0" xfId="0"/>
    <xf numFmtId="0" fontId="7" fillId="3" borderId="7" pivotButton="0" quotePrefix="0" xfId="0"/>
    <xf numFmtId="0" fontId="3" fillId="0" borderId="7" pivotButton="0" quotePrefix="0" xfId="0"/>
    <xf numFmtId="0" fontId="4" fillId="0" borderId="7" pivotButton="0" quotePrefix="0" xfId="0"/>
    <xf numFmtId="0" fontId="11" fillId="0" borderId="7" applyAlignment="1" pivotButton="0" quotePrefix="0" xfId="0">
      <alignment vertical="top" wrapText="1"/>
    </xf>
    <xf numFmtId="172" fontId="0" fillId="0" borderId="1" pivotButton="0" quotePrefix="0" xfId="0"/>
    <xf numFmtId="172" fontId="4" fillId="0" borderId="1" pivotButton="0" quotePrefix="0" xfId="0"/>
    <xf numFmtId="166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180975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H38 CARPENTRY CALC</t>
        </is>
      </c>
    </row>
    <row r="2">
      <c r="A2" s="2" t="inlineStr">
        <is>
          <t>By Highway 38 Solutions  -  The Carpentry &amp; Framing sheet from the H38 Contractor Calc, in a book of its own</t>
        </is>
      </c>
    </row>
    <row r="3"/>
    <row r="4" ht="42" customHeight="1">
      <c r="A4" s="3" t="inlineStr">
        <is>
          <t>What this is</t>
        </is>
      </c>
      <c r="B4" s="4" t="inlineStr">
        <is>
          <t>The Carpentry &amp; Framing sheet from the H38 Contractor Calc workbook, as a book you keep - board feet &amp; lumber cost, wall studs, sheet goods, common rafter length, and a quick reference for pitch multipliers &amp; angles.</t>
        </is>
      </c>
    </row>
    <row r="5" ht="42" customHeight="1">
      <c r="A5" s="3" t="inlineStr">
        <is>
          <t>Start in this order</t>
        </is>
      </c>
      <c r="B5" s="4" t="inlineStr">
        <is>
          <t>1) Carpentry &amp; Framing - board feet for the pile, studs for the wall, sheets for the deck, and the rafter length off the pitch. One sheet - the five tools run top to bottom.</t>
        </is>
      </c>
    </row>
    <row r="6" ht="42" customHeight="1">
      <c r="A6" s="3" t="inlineStr">
        <is>
          <t>Yellow cells</t>
        </is>
      </c>
      <c r="B6" s="4" t="inlineStr">
        <is>
          <t>Yellow = you type here. White / grey cells are formulas - don't type over them, or that calculation will stop working. Percent cells: type them as percents (20%), not decimals.</t>
        </is>
      </c>
    </row>
    <row r="7" ht="42" customHeight="1">
      <c r="A7" s="3" t="inlineStr">
        <is>
          <t>Example data</t>
        </is>
      </c>
      <c r="B7" s="4" t="inlineStr">
        <is>
          <t>Every calculator opens with the same example numbers as the web app, so the two match side by side. Replace them with your shop's real numbers before quoting a customer.</t>
        </is>
      </c>
    </row>
    <row r="8" ht="42" customHeight="1">
      <c r="A8" s="3" t="inlineStr">
        <is>
          <t>Estimates only</t>
        </is>
      </c>
      <c r="B8" s="4" t="inlineStr">
        <is>
          <t>Results are estimates for planning and quoting conversations - verify load calculations, code requirements, and tax figures against the governing standard (Manual J, the NEC, IRS publications) and your own books before you build, bid, or file on them.</t>
        </is>
      </c>
    </row>
    <row r="9"/>
    <row r="10">
      <c r="A10" s="5" t="inlineStr">
        <is>
          <t>Sheets:  Carpentry &amp; Framing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3">
    <mergeCell ref="A2:B2"/>
    <mergeCell ref="A10:B10"/>
    <mergeCell ref="A1:B1"/>
  </mergeCells>
  <printOptions horizontalCentered="1"/>
  <pageMargins left="0.75" right="0.75" top="1" bottom="1" header="0.5" footer="0.5"/>
  <pageSetup orientation="portrait" fitToHeight="1" fitToWidth="1"/>
  <headerFooter>
    <oddHeader>&amp;C&amp;11 Highway 38 Solutions</oddHeader>
    <oddFooter/>
    <evenHeader>&amp;C&amp;11 Highway 38 Solutions</evenHeader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2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6" t="inlineStr">
        <is>
          <t>CARPENTRY &amp; FRAMING - Board feet, studs, sheet goods &amp; rafters</t>
        </is>
      </c>
    </row>
    <row r="2">
      <c r="A2" s="7" t="inlineStr">
        <is>
          <t>The lumber math: board feet for the pile, studs for the wall, sheets for the deck, and the rafter length off the pitch.</t>
        </is>
      </c>
    </row>
    <row r="4" ht="20" customHeight="1">
      <c r="A4" s="8" t="inlineStr">
        <is>
          <t>1 - BOARD FEET &amp; LUMBER COST</t>
        </is>
      </c>
    </row>
    <row r="5">
      <c r="A5" s="9" t="inlineStr">
        <is>
          <t>Thickness (in)</t>
        </is>
      </c>
      <c r="B5" s="27" t="n">
        <v>2</v>
      </c>
    </row>
    <row r="6">
      <c r="A6" s="9" t="inlineStr">
        <is>
          <t>Width (in)</t>
        </is>
      </c>
      <c r="B6" s="27" t="n">
        <v>6</v>
      </c>
    </row>
    <row r="7">
      <c r="A7" s="9" t="inlineStr">
        <is>
          <t>Length (ft)</t>
        </is>
      </c>
      <c r="B7" s="18" t="n">
        <v>8</v>
      </c>
    </row>
    <row r="8">
      <c r="A8" s="9" t="inlineStr">
        <is>
          <t>Pieces</t>
        </is>
      </c>
      <c r="B8" s="10" t="n">
        <v>10</v>
      </c>
    </row>
    <row r="9">
      <c r="A9" s="9" t="inlineStr">
        <is>
          <t>Price per board foot ($)</t>
        </is>
      </c>
      <c r="B9" s="11" t="n">
        <v>3.5</v>
      </c>
    </row>
    <row r="10">
      <c r="A10" s="9" t="inlineStr">
        <is>
          <t>Board feet per piece</t>
        </is>
      </c>
      <c r="B10" s="21">
        <f>B5*B6*(B7*12)/144</f>
        <v/>
      </c>
    </row>
    <row r="11">
      <c r="A11" s="14" t="inlineStr">
        <is>
          <t>TOTAL BOARD FEET</t>
        </is>
      </c>
      <c r="B11" s="22">
        <f>B10*B8</f>
        <v/>
      </c>
    </row>
    <row r="12">
      <c r="A12" s="14" t="inlineStr">
        <is>
          <t>Lumber cost</t>
        </is>
      </c>
      <c r="B12" s="15">
        <f>B11*B9</f>
        <v/>
      </c>
    </row>
    <row r="13" ht="28" customHeight="1">
      <c r="A13" s="17" t="inlineStr">
        <is>
          <t>A board foot is 144 cubic inches of wood - the same as a 1 x 12 one foot long. Run the size you are actually buying: a 2 x 6 is really 1.5 x 5.5 in dressed, and board feet are sold on the nominal size at most yards.</t>
        </is>
      </c>
    </row>
    <row r="15" ht="20" customHeight="1">
      <c r="A15" s="8" t="inlineStr">
        <is>
          <t>2 - WALL STUDS</t>
        </is>
      </c>
    </row>
    <row r="16">
      <c r="A16" s="9" t="inlineStr">
        <is>
          <t>Wall length (ft)</t>
        </is>
      </c>
      <c r="B16" s="18" t="n">
        <v>24</v>
      </c>
    </row>
    <row r="17">
      <c r="A17" s="9" t="inlineStr">
        <is>
          <t>Stud spacing (in, on center)</t>
        </is>
      </c>
      <c r="B17" s="10" t="n">
        <v>16</v>
      </c>
      <c r="C17" s="24" t="inlineStr">
        <is>
          <t>16 or 24 are the usual spacings</t>
        </is>
      </c>
    </row>
    <row r="18">
      <c r="A18" s="9" t="inlineStr">
        <is>
          <t>Extra for corners, jacks &amp; waste</t>
        </is>
      </c>
      <c r="B18" s="12" t="n">
        <v>0.15</v>
      </c>
      <c r="C18" s="24" t="inlineStr">
        <is>
          <t>Estimate - corners, king/jack studs and culls; 10-20% is the usual allowance</t>
        </is>
      </c>
    </row>
    <row r="19">
      <c r="A19" s="9" t="inlineStr">
        <is>
          <t>Studs in the run (one per mark, plus one)</t>
        </is>
      </c>
      <c r="B19" s="20">
        <f>IF(B17&gt;0,CEILING(B16*12/B17,1)+1,0)</f>
        <v/>
      </c>
    </row>
    <row r="20">
      <c r="A20" s="14" t="inlineStr">
        <is>
          <t>STUDS TO BUY</t>
        </is>
      </c>
      <c r="B20" s="26">
        <f>CEILING(B19*(1+B18),1)</f>
        <v/>
      </c>
    </row>
    <row r="21" ht="28" customHeight="1">
      <c r="A21" s="17" t="inlineStr">
        <is>
          <t>Plates are figured off the wall length, not the stud count: one bottom plate and (usually) a doubled top plate run the full length of the wall.</t>
        </is>
      </c>
    </row>
    <row r="23" ht="20" customHeight="1">
      <c r="A23" s="8" t="inlineStr">
        <is>
          <t>3 - SHEET GOODS - PLYWOOD &amp; OSB</t>
        </is>
      </c>
    </row>
    <row r="24">
      <c r="A24" s="9" t="inlineStr">
        <is>
          <t>Area length (ft)</t>
        </is>
      </c>
      <c r="B24" s="18" t="n">
        <v>24</v>
      </c>
    </row>
    <row r="25">
      <c r="A25" s="9" t="inlineStr">
        <is>
          <t>Area width (ft)</t>
        </is>
      </c>
      <c r="B25" s="18" t="n">
        <v>12</v>
      </c>
    </row>
    <row r="26">
      <c r="A26" s="9" t="inlineStr">
        <is>
          <t>Sheet length (ft)</t>
        </is>
      </c>
      <c r="B26" s="18" t="n">
        <v>8</v>
      </c>
    </row>
    <row r="27">
      <c r="A27" s="9" t="inlineStr">
        <is>
          <t>Sheet width (ft)</t>
        </is>
      </c>
      <c r="B27" s="18" t="n">
        <v>4</v>
      </c>
    </row>
    <row r="28">
      <c r="A28" s="9" t="inlineStr">
        <is>
          <t>Waste &amp; cuts</t>
        </is>
      </c>
      <c r="B28" s="12" t="n">
        <v>0.1</v>
      </c>
    </row>
    <row r="29">
      <c r="A29" s="9" t="inlineStr">
        <is>
          <t>Area to cover (sq ft)</t>
        </is>
      </c>
      <c r="B29" s="20">
        <f>B24*B25</f>
        <v/>
      </c>
    </row>
    <row r="30">
      <c r="A30" s="14" t="inlineStr">
        <is>
          <t>SHEETS TO BUY</t>
        </is>
      </c>
      <c r="B30" s="26">
        <f>IF(B26*B27&gt;0,CEILING(B29*(1+B28)/(B26*B27),1),0)</f>
        <v/>
      </c>
    </row>
    <row r="31" ht="28" customHeight="1">
      <c r="A31" s="17" t="inlineStr">
        <is>
          <t>Full sheets only. On straight runs the cutoff from one row starts the next, which is why 10% waste usually holds; roofs and stairs eat more.</t>
        </is>
      </c>
    </row>
    <row r="33" ht="20" customHeight="1">
      <c r="A33" s="8" t="inlineStr">
        <is>
          <t>4 - COMMON RAFTER LENGTH</t>
        </is>
      </c>
    </row>
    <row r="34">
      <c r="A34" s="9" t="inlineStr">
        <is>
          <t>Building width / total span (ft)</t>
        </is>
      </c>
      <c r="B34" s="18" t="n">
        <v>24</v>
      </c>
    </row>
    <row r="35">
      <c r="A35" s="9" t="inlineStr">
        <is>
          <t>Pitch (rise, in per 12 in of run)</t>
        </is>
      </c>
      <c r="B35" s="18" t="n">
        <v>6</v>
      </c>
    </row>
    <row r="36">
      <c r="A36" s="9" t="inlineStr">
        <is>
          <t>Overhang (in, horizontal)</t>
        </is>
      </c>
      <c r="B36" s="18" t="n">
        <v>12</v>
      </c>
    </row>
    <row r="37">
      <c r="A37" s="9" t="inlineStr">
        <is>
          <t>Ridge board thickness (in)</t>
        </is>
      </c>
      <c r="B37" s="27" t="n">
        <v>1.5</v>
      </c>
    </row>
    <row r="38">
      <c r="A38" s="9" t="inlineStr">
        <is>
          <t>Slope factor (per ft of run)</t>
        </is>
      </c>
      <c r="B38" s="86">
        <f>SQRT(144+B35^2)/12</f>
        <v/>
      </c>
    </row>
    <row r="39">
      <c r="A39" s="9" t="inlineStr">
        <is>
          <t>Run to ridge center (ft)</t>
        </is>
      </c>
      <c r="B39" s="21">
        <f>B34/2</f>
        <v/>
      </c>
    </row>
    <row r="40">
      <c r="A40" s="14" t="inlineStr">
        <is>
          <t>RAFTER LENGTH (ft, ridge to tail)</t>
        </is>
      </c>
      <c r="B40" s="22">
        <f>(B39-B37/24+B36/12)*B38</f>
        <v/>
      </c>
    </row>
    <row r="41">
      <c r="A41" s="9" t="inlineStr">
        <is>
          <t>Rafter length (in)</t>
        </is>
      </c>
      <c r="B41" s="33">
        <f>B40*12</f>
        <v/>
      </c>
    </row>
    <row r="42" ht="28" customHeight="1">
      <c r="A42" s="17" t="inlineStr">
        <is>
          <t>Length runs along the top edge, plumb cut at the ridge to plumb cut at the tail, before the birdsmouth is notched. Half the ridge board comes off the run - the ridge/24 in the math is that deduction, measured along the slope.</t>
        </is>
      </c>
    </row>
    <row r="44" ht="20" customHeight="1">
      <c r="A44" s="8" t="inlineStr">
        <is>
          <t>5 - QUICK REFERENCE - PITCH MULTIPLIERS &amp; ANGLES</t>
        </is>
      </c>
    </row>
    <row r="45" ht="28" customHeight="1">
      <c r="A45" s="17" t="inlineStr">
        <is>
          <t>Multiply the horizontal run by the factor to get the slope length. Pure geometry: factor = SQRT(144 + rise^2) / 12, angle = ATAN(rise / 12). Real lumber sizes (a 2 x 4 is 1.5 x 3.5) are on the Standard Reference sheet.</t>
        </is>
      </c>
    </row>
    <row r="46">
      <c r="A46" s="31" t="inlineStr">
        <is>
          <t>Rise (per 12 in)</t>
        </is>
      </c>
      <c r="B46" s="31" t="inlineStr">
        <is>
          <t>Slope factor</t>
        </is>
      </c>
      <c r="C46" s="31" t="inlineStr">
        <is>
          <t>Slope angle (deg)</t>
        </is>
      </c>
      <c r="D46" s="31" t="inlineStr">
        <is>
          <t>Common use</t>
        </is>
      </c>
    </row>
    <row r="47">
      <c r="A47" s="30" t="n">
        <v>1</v>
      </c>
      <c r="B47" s="87">
        <f>SQRT(144+A47^2)/12</f>
        <v/>
      </c>
      <c r="C47" s="88">
        <f>DEGREES(ATAN(A47/12))</f>
        <v/>
      </c>
      <c r="D47" s="30" t="inlineStr"/>
    </row>
    <row r="48">
      <c r="A48" s="30" t="n">
        <v>2</v>
      </c>
      <c r="B48" s="87">
        <f>SQRT(144+A48^2)/12</f>
        <v/>
      </c>
      <c r="C48" s="88">
        <f>DEGREES(ATAN(A48/12))</f>
        <v/>
      </c>
      <c r="D48" s="30" t="inlineStr">
        <is>
          <t>Very low slope</t>
        </is>
      </c>
    </row>
    <row r="49">
      <c r="A49" s="30" t="n">
        <v>3</v>
      </c>
      <c r="B49" s="87">
        <f>SQRT(144+A49^2)/12</f>
        <v/>
      </c>
      <c r="C49" s="88">
        <f>DEGREES(ATAN(A49/12))</f>
        <v/>
      </c>
      <c r="D49" s="30" t="inlineStr"/>
    </row>
    <row r="50">
      <c r="A50" s="30" t="n">
        <v>4</v>
      </c>
      <c r="B50" s="87">
        <f>SQRT(144+A50^2)/12</f>
        <v/>
      </c>
      <c r="C50" s="88">
        <f>DEGREES(ATAN(A50/12))</f>
        <v/>
      </c>
      <c r="D50" s="30" t="inlineStr">
        <is>
          <t>Porch / shed roof</t>
        </is>
      </c>
    </row>
    <row r="51">
      <c r="A51" s="30" t="n">
        <v>5</v>
      </c>
      <c r="B51" s="87">
        <f>SQRT(144+A51^2)/12</f>
        <v/>
      </c>
      <c r="C51" s="88">
        <f>DEGREES(ATAN(A51/12))</f>
        <v/>
      </c>
      <c r="D51" s="30" t="inlineStr"/>
    </row>
    <row r="52">
      <c r="A52" s="30" t="n">
        <v>6</v>
      </c>
      <c r="B52" s="87">
        <f>SQRT(144+A52^2)/12</f>
        <v/>
      </c>
      <c r="C52" s="88">
        <f>DEGREES(ATAN(A52/12))</f>
        <v/>
      </c>
      <c r="D52" s="30" t="inlineStr">
        <is>
          <t>Common house roof</t>
        </is>
      </c>
    </row>
    <row r="53">
      <c r="A53" s="30" t="n">
        <v>7</v>
      </c>
      <c r="B53" s="87">
        <f>SQRT(144+A53^2)/12</f>
        <v/>
      </c>
      <c r="C53" s="88">
        <f>DEGREES(ATAN(A53/12))</f>
        <v/>
      </c>
      <c r="D53" s="30" t="inlineStr"/>
    </row>
    <row r="54">
      <c r="A54" s="30" t="n">
        <v>8</v>
      </c>
      <c r="B54" s="87">
        <f>SQRT(144+A54^2)/12</f>
        <v/>
      </c>
      <c r="C54" s="88">
        <f>DEGREES(ATAN(A54/12))</f>
        <v/>
      </c>
      <c r="D54" s="30" t="inlineStr">
        <is>
          <t>Steep roof</t>
        </is>
      </c>
    </row>
    <row r="55">
      <c r="A55" s="30" t="n">
        <v>9</v>
      </c>
      <c r="B55" s="87">
        <f>SQRT(144+A55^2)/12</f>
        <v/>
      </c>
      <c r="C55" s="88">
        <f>DEGREES(ATAN(A55/12))</f>
        <v/>
      </c>
      <c r="D55" s="30" t="inlineStr"/>
    </row>
    <row r="56">
      <c r="A56" s="30" t="n">
        <v>10</v>
      </c>
      <c r="B56" s="87">
        <f>SQRT(144+A56^2)/12</f>
        <v/>
      </c>
      <c r="C56" s="88">
        <f>DEGREES(ATAN(A56/12))</f>
        <v/>
      </c>
      <c r="D56" s="30" t="inlineStr"/>
    </row>
    <row r="57">
      <c r="A57" s="30" t="n">
        <v>11</v>
      </c>
      <c r="B57" s="87">
        <f>SQRT(144+A57^2)/12</f>
        <v/>
      </c>
      <c r="C57" s="88">
        <f>DEGREES(ATAN(A57/12))</f>
        <v/>
      </c>
      <c r="D57" s="30" t="inlineStr"/>
    </row>
    <row r="58">
      <c r="A58" s="30" t="n">
        <v>12</v>
      </c>
      <c r="B58" s="87">
        <f>SQRT(144+A58^2)/12</f>
        <v/>
      </c>
      <c r="C58" s="88">
        <f>DEGREES(ATAN(A58/12))</f>
        <v/>
      </c>
      <c r="D58" s="30" t="inlineStr">
        <is>
          <t>45 degrees - full pitch</t>
        </is>
      </c>
    </row>
    <row r="59" ht="28" customHeight="1">
      <c r="A59" s="17" t="inlineStr">
        <is>
          <t>Multipliers and angles are exact geometry. Rafter sizing, spans and snow load come from the code span tables for your species and grade - this sheet does lengths, not structural design.</t>
        </is>
      </c>
    </row>
  </sheetData>
  <mergeCells count="13">
    <mergeCell ref="A42:C42"/>
    <mergeCell ref="A13:C13"/>
    <mergeCell ref="A33:C33"/>
    <mergeCell ref="A1:C1"/>
    <mergeCell ref="A23:C23"/>
    <mergeCell ref="A44:F44"/>
    <mergeCell ref="A31:C31"/>
    <mergeCell ref="A45:F45"/>
    <mergeCell ref="A21:C21"/>
    <mergeCell ref="A59:F59"/>
    <mergeCell ref="A15:C15"/>
    <mergeCell ref="A4:C4"/>
    <mergeCell ref="A2:C2"/>
  </mergeCells>
  <printOptions horizontalCentered="1"/>
  <pageMargins left="0.75" right="0.75" top="1" bottom="1" header="0.5" footer="0.5"/>
  <pageSetup orientation="portrait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Highway 38 Solutions</dc:creator>
  <dc:title xmlns:dc="http://purl.org/dc/elements/1.1/">H38 Contractor Calc - Highway 38 Solutions</dc:title>
  <dcterms:created xmlns:dcterms="http://purl.org/dc/terms/" xmlns:xsi="http://www.w3.org/2001/XMLSchema-instance" xsi:type="dcterms:W3CDTF">2026-10-25T21:36:25Z</dcterms:created>
  <dcterms:modified xmlns:dcterms="http://purl.org/dc/terms/" xmlns:xsi="http://www.w3.org/2001/XMLSchema-instance" xsi:type="dcterms:W3CDTF">2026-10-28T03:13:39+00:00Z</dcterms:modified>
</cp:coreProperties>
</file>