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tandard" sheetId="2" state="visible" r:id="rId2"/>
    <sheet xmlns:r="http://schemas.openxmlformats.org/officeDocument/2006/relationships" name="Standard Reference" sheetId="3" state="visible" r:id="rId3"/>
    <sheet xmlns:r="http://schemas.openxmlformats.org/officeDocument/2006/relationships" name="Business Tools" sheetId="4" state="visible" r:id="rId4"/>
  </sheets>
  <definedNames/>
  <calcPr calcId="124519" fullCalcOnLoad="1"/>
</workbook>
</file>

<file path=xl/styles.xml><?xml version="1.0" encoding="utf-8"?>
<styleSheet xmlns="http://schemas.openxmlformats.org/spreadsheetml/2006/main">
  <numFmts count="9">
    <numFmt numFmtId="164" formatCode="&quot;$&quot;#,##0.00"/>
    <numFmt numFmtId="165" formatCode="0.0%"/>
    <numFmt numFmtId="166" formatCode="#,##0.0"/>
    <numFmt numFmtId="167" formatCode="&quot;$&quot;#,##0.000"/>
    <numFmt numFmtId="168" formatCode="0.0000"/>
    <numFmt numFmtId="169" formatCode="0.000"/>
    <numFmt numFmtId="170" formatCode="0.0"/>
    <numFmt numFmtId="171" formatCode="&quot;$&quot;#,##0"/>
    <numFmt numFmtId="172" formatCode="#,##0.000"/>
  </numFmts>
  <fonts count="12">
    <font>
      <name val="Calibri"/>
      <family val="2"/>
      <color theme="1"/>
      <sz val="11"/>
      <scheme val="minor"/>
    </font>
    <font>
      <name val="Calibri"/>
      <b val="1"/>
      <color rgb="001B2A4E"/>
      <sz val="18"/>
    </font>
    <font>
      <name val="Calibri"/>
      <color rgb="00444444"/>
      <sz val="11"/>
    </font>
    <font>
      <name val="Calibri"/>
      <b val="1"/>
      <sz val="11"/>
    </font>
    <font>
      <name val="Calibri"/>
      <sz val="11"/>
    </font>
    <font>
      <name val="Calibri"/>
      <b val="1"/>
      <color rgb="001B2A4E"/>
      <sz val="11"/>
    </font>
    <font>
      <name val="Calibri"/>
      <b val="1"/>
      <color rgb="00FFFFFF"/>
      <sz val="14"/>
    </font>
    <font>
      <name val="Calibri"/>
      <b val="1"/>
      <color rgb="001B2A4E"/>
      <sz val="12"/>
    </font>
    <font>
      <name val="Calibri"/>
      <i val="1"/>
      <color rgb="00555555"/>
      <sz val="11"/>
    </font>
    <font>
      <name val="Calibri"/>
      <b val="1"/>
      <color rgb="00FFFFFF"/>
      <sz val="11"/>
    </font>
    <font>
      <name val="Calibri"/>
      <b val="1"/>
      <color rgb="00555555"/>
      <sz val="11"/>
    </font>
    <font>
      <name val="Calibri"/>
      <color rgb="00555555"/>
      <sz val="11"/>
    </font>
  </fonts>
  <fills count="5">
    <fill>
      <patternFill/>
    </fill>
    <fill>
      <patternFill patternType="gray125"/>
    </fill>
    <fill>
      <patternFill patternType="solid">
        <fgColor rgb="001B2A4E"/>
      </patternFill>
    </fill>
    <fill>
      <patternFill patternType="solid">
        <fgColor rgb="00C9A86A"/>
      </patternFill>
    </fill>
    <fill>
      <patternFill patternType="solid">
        <fgColor rgb="00FFF7D6"/>
      </patternFill>
    </fill>
  </fills>
  <borders count="8">
    <border>
      <left/>
      <right/>
      <top/>
      <bottom/>
      <diagonal/>
    </border>
    <border>
      <left style="thin">
        <color rgb="00B0B8C5"/>
      </left>
      <right style="thin">
        <color rgb="00B0B8C5"/>
      </right>
      <top style="thin">
        <color rgb="00B0B8C5"/>
      </top>
      <bottom style="thin">
        <color rgb="00B0B8C5"/>
      </bottom>
    </border>
    <border>
      <left/>
      <right/>
      <top style="thin">
        <color rgb="00B0B8C5"/>
      </top>
      <bottom/>
      <diagonal/>
    </border>
    <border>
      <left/>
      <right style="thin">
        <color rgb="00B0B8C5"/>
      </right>
      <top style="thin">
        <color rgb="00B0B8C5"/>
      </top>
      <bottom/>
      <diagonal/>
    </border>
    <border>
      <left/>
      <right/>
      <top style="thin">
        <color rgb="00B0B8C5"/>
      </top>
      <bottom style="thin">
        <color rgb="00B0B8C5"/>
      </bottom>
      <diagonal/>
    </border>
    <border>
      <left/>
      <right style="thin">
        <color rgb="00B0B8C5"/>
      </right>
      <top style="thin">
        <color rgb="00B0B8C5"/>
      </top>
      <bottom style="thin">
        <color rgb="00B0B8C5"/>
      </bottom>
      <diagonal/>
    </border>
    <border>
      <left style="thin"/>
      <right style="thin"/>
      <top style="thin"/>
      <bottom style="thin"/>
    </border>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xf>
    <xf numFmtId="0" fontId="2" fillId="0" borderId="0" applyAlignment="1" pivotButton="0" quotePrefix="0" xfId="0">
      <alignment vertical="top" wrapText="1"/>
    </xf>
    <xf numFmtId="0" fontId="7" fillId="3" borderId="0" applyAlignment="1" pivotButton="0" quotePrefix="0" xfId="0">
      <alignment vertical="center"/>
    </xf>
    <xf numFmtId="0" fontId="4" fillId="0" borderId="0" pivotButton="0" quotePrefix="0" xfId="0"/>
    <xf numFmtId="3" fontId="0" fillId="4" borderId="1" pivotButton="0" quotePrefix="0" xfId="0"/>
    <xf numFmtId="164" fontId="0" fillId="4" borderId="1" pivotButton="0" quotePrefix="0" xfId="0"/>
    <xf numFmtId="165" fontId="0" fillId="4" borderId="1" pivotButton="0" quotePrefix="0" xfId="0"/>
    <xf numFmtId="164" fontId="0" fillId="0" borderId="1" pivotButton="0" quotePrefix="0" xfId="0"/>
    <xf numFmtId="0" fontId="3" fillId="0" borderId="0" pivotButton="0" quotePrefix="0" xfId="0"/>
    <xf numFmtId="164" fontId="3" fillId="0" borderId="1" pivotButton="0" quotePrefix="0" xfId="0"/>
    <xf numFmtId="165" fontId="0" fillId="0" borderId="1" pivotButton="0" quotePrefix="0" xfId="0"/>
    <xf numFmtId="0" fontId="8" fillId="0" borderId="0" applyAlignment="1" pivotButton="0" quotePrefix="0" xfId="0">
      <alignment vertical="top" wrapText="1"/>
    </xf>
    <xf numFmtId="166" fontId="0" fillId="4" borderId="1" pivotButton="0" quotePrefix="0" xfId="0"/>
    <xf numFmtId="167" fontId="0" fillId="4" borderId="1" pivotButton="0" quotePrefix="0" xfId="0"/>
    <xf numFmtId="3" fontId="0" fillId="0" borderId="1" pivotButton="0" quotePrefix="0" xfId="0"/>
    <xf numFmtId="4" fontId="0" fillId="0" borderId="1" pivotButton="0" quotePrefix="0" xfId="0"/>
    <xf numFmtId="4" fontId="3" fillId="0" borderId="1" pivotButton="0" quotePrefix="0" xfId="0"/>
    <xf numFmtId="0" fontId="0" fillId="4" borderId="1" pivotButton="0" quotePrefix="0" xfId="0"/>
    <xf numFmtId="0" fontId="8" fillId="0" borderId="0" pivotButton="0" quotePrefix="0" xfId="0"/>
    <xf numFmtId="166" fontId="3" fillId="0" borderId="1" pivotButton="0" quotePrefix="0" xfId="0"/>
    <xf numFmtId="3" fontId="3" fillId="0" borderId="1" pivotButton="0" quotePrefix="0" xfId="0"/>
    <xf numFmtId="4" fontId="0" fillId="4" borderId="1" pivotButton="0" quotePrefix="0" xfId="0"/>
    <xf numFmtId="168" fontId="0" fillId="0" borderId="1" pivotButton="0" quotePrefix="0" xfId="0"/>
    <xf numFmtId="165" fontId="3" fillId="0" borderId="1" pivotButton="0" quotePrefix="0" xfId="0"/>
    <xf numFmtId="0" fontId="4" fillId="0" borderId="1" pivotButton="0" quotePrefix="0" xfId="0"/>
    <xf numFmtId="0" fontId="3" fillId="0" borderId="1" pivotButton="0" quotePrefix="0" xfId="0"/>
    <xf numFmtId="0" fontId="0" fillId="0" borderId="1" pivotButton="0" quotePrefix="0" xfId="0"/>
    <xf numFmtId="166" fontId="0" fillId="0" borderId="1" pivotButton="0" quotePrefix="0" xfId="0"/>
    <xf numFmtId="0" fontId="9" fillId="2" borderId="1" applyAlignment="1" pivotButton="0" quotePrefix="0" xfId="0">
      <alignment horizontal="center" vertical="center" wrapText="1"/>
    </xf>
    <xf numFmtId="0" fontId="7" fillId="3" borderId="0" pivotButton="0" quotePrefix="0" xfId="0"/>
    <xf numFmtId="3" fontId="4" fillId="4" borderId="6" pivotButton="0" quotePrefix="0" xfId="0"/>
    <xf numFmtId="0" fontId="4" fillId="4" borderId="6" pivotButton="0" quotePrefix="0" xfId="0"/>
    <xf numFmtId="4" fontId="4" fillId="0" borderId="6" pivotButton="0" quotePrefix="0" xfId="0"/>
    <xf numFmtId="3" fontId="4" fillId="0" borderId="6" pivotButton="0" quotePrefix="0" xfId="0"/>
    <xf numFmtId="4" fontId="3" fillId="0" borderId="6" pivotButton="0" quotePrefix="0" xfId="0"/>
    <xf numFmtId="165" fontId="3" fillId="0" borderId="6"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4" fillId="0" borderId="6" pivotButton="0" quotePrefix="0" xfId="0"/>
    <xf numFmtId="4" fontId="4" fillId="4" borderId="6" pivotButton="0" quotePrefix="0" xfId="0"/>
    <xf numFmtId="3" fontId="3" fillId="0" borderId="6" pivotButton="0" quotePrefix="0" xfId="0"/>
    <xf numFmtId="0" fontId="3" fillId="0" borderId="6" pivotButton="0" quotePrefix="0" xfId="0"/>
    <xf numFmtId="169" fontId="4" fillId="0" borderId="6" pivotButton="0" quotePrefix="0" xfId="0"/>
    <xf numFmtId="168" fontId="4" fillId="0" borderId="6" pivotButton="0" quotePrefix="0" xfId="0"/>
    <xf numFmtId="170" fontId="3" fillId="0" borderId="6" pivotButton="0" quotePrefix="0" xfId="0"/>
    <xf numFmtId="164" fontId="4" fillId="4" borderId="6" pivotButton="0" quotePrefix="0" xfId="0"/>
    <xf numFmtId="164" fontId="3" fillId="0" borderId="6" pivotButton="0" quotePrefix="0" xfId="0"/>
    <xf numFmtId="0" fontId="0" fillId="0" borderId="4" pivotButton="0" quotePrefix="0" xfId="0"/>
    <xf numFmtId="0" fontId="0" fillId="0" borderId="5" pivotButton="0" quotePrefix="0" xfId="0"/>
    <xf numFmtId="0" fontId="4" fillId="0" borderId="0" applyAlignment="1" pivotButton="0" quotePrefix="0" xfId="0">
      <alignment wrapText="1"/>
    </xf>
    <xf numFmtId="0" fontId="6" fillId="2" borderId="0" pivotButton="0" quotePrefix="0" xfId="0"/>
    <xf numFmtId="0" fontId="2" fillId="0" borderId="0" applyAlignment="1" pivotButton="0" quotePrefix="0" xfId="0">
      <alignment wrapText="1"/>
    </xf>
    <xf numFmtId="9" fontId="4" fillId="0" borderId="0" pivotButton="0" quotePrefix="0" xfId="0"/>
    <xf numFmtId="171" fontId="4" fillId="0" borderId="0" pivotButton="0" quotePrefix="0" xfId="0"/>
    <xf numFmtId="165" fontId="4" fillId="0" borderId="0" pivotButton="0" quotePrefix="0" xfId="0"/>
    <xf numFmtId="0" fontId="8" fillId="0" borderId="0" applyAlignment="1" pivotButton="0" quotePrefix="0" xfId="0">
      <alignment wrapText="1"/>
    </xf>
    <xf numFmtId="170" fontId="4" fillId="0" borderId="0" pivotButton="0" quotePrefix="0" xfId="0"/>
    <xf numFmtId="3" fontId="4" fillId="0" borderId="0" pivotButton="0" quotePrefix="0" xfId="0"/>
    <xf numFmtId="2" fontId="4" fillId="0" borderId="0" pivotButton="0" quotePrefix="0" xfId="0"/>
    <xf numFmtId="168" fontId="4" fillId="0" borderId="0" pivotButton="0" quotePrefix="0" xfId="0"/>
    <xf numFmtId="1" fontId="4" fillId="0" borderId="0" pivotButton="0" quotePrefix="0" xfId="0"/>
    <xf numFmtId="169" fontId="4" fillId="0" borderId="0" pivotButton="0" quotePrefix="0" xfId="0"/>
    <xf numFmtId="10" fontId="4" fillId="4" borderId="6" pivotButton="0" quotePrefix="0" xfId="0"/>
    <xf numFmtId="0" fontId="11" fillId="0" borderId="0" pivotButton="0" quotePrefix="0" xfId="0"/>
    <xf numFmtId="165" fontId="4" fillId="4" borderId="6" pivotButton="0" quotePrefix="0" xfId="0"/>
    <xf numFmtId="164" fontId="4" fillId="0" borderId="6" pivotButton="0" quotePrefix="0" xfId="0"/>
    <xf numFmtId="165" fontId="4" fillId="0" borderId="6" pivotButton="0" quotePrefix="0" xfId="0"/>
    <xf numFmtId="166" fontId="4" fillId="4" borderId="6" pivotButton="0" quotePrefix="0" xfId="0"/>
    <xf numFmtId="10" fontId="4" fillId="0" borderId="6" pivotButton="0" quotePrefix="0" xfId="0"/>
    <xf numFmtId="166" fontId="4" fillId="0" borderId="6" pivotButton="0" quotePrefix="0" xfId="0"/>
    <xf numFmtId="166" fontId="0" fillId="0" borderId="6" pivotButton="0" quotePrefix="0" xfId="0"/>
    <xf numFmtId="165" fontId="0" fillId="0" borderId="6" pivotButton="0" quotePrefix="0" xfId="0"/>
    <xf numFmtId="166" fontId="3" fillId="0" borderId="6" pivotButton="0" quotePrefix="0" xfId="0"/>
    <xf numFmtId="3" fontId="0" fillId="0" borderId="6" pivotButton="0" quotePrefix="0" xfId="0"/>
    <xf numFmtId="168" fontId="0" fillId="0" borderId="6" pivotButton="0" quotePrefix="0" xfId="0"/>
    <xf numFmtId="4" fontId="0" fillId="0" borderId="6" pivotButton="0" quotePrefix="0" xfId="0"/>
    <xf numFmtId="0" fontId="7" fillId="3" borderId="7" pivotButton="0" quotePrefix="0" xfId="0"/>
    <xf numFmtId="0" fontId="3" fillId="0" borderId="7" pivotButton="0" quotePrefix="0" xfId="0"/>
    <xf numFmtId="0" fontId="4" fillId="0" borderId="7" pivotButton="0" quotePrefix="0" xfId="0"/>
    <xf numFmtId="0" fontId="11" fillId="0" borderId="7" applyAlignment="1" pivotButton="0" quotePrefix="0" xfId="0">
      <alignment vertical="top" wrapText="1"/>
    </xf>
    <xf numFmtId="172" fontId="0" fillId="0" borderId="1" pivotButton="0" quotePrefix="0" xfId="0"/>
    <xf numFmtId="172" fontId="4" fillId="0" borderId="1" pivotButton="0" quotePrefix="0" xfId="0"/>
    <xf numFmtId="166" fontId="4" fillId="0" borderId="1" pivotButton="0" quotePrefix="0" xfId="0"/>
    <xf numFmtId="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0</colOff>
      <row>0</row>
      <rowOff>0</rowOff>
    </from>
    <ext cx="1809750" cy="1809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B40"/>
  <sheetViews>
    <sheetView workbookViewId="0">
      <selection activeCell="A1" sqref="A1"/>
    </sheetView>
  </sheetViews>
  <sheetFormatPr baseColWidth="8" defaultRowHeight="15"/>
  <cols>
    <col width="28" customWidth="1" min="1" max="1"/>
    <col width="95" customWidth="1" min="2" max="2"/>
  </cols>
  <sheetData>
    <row r="1">
      <c r="A1" s="1" t="inlineStr">
        <is>
          <t>H38 GENERAL CALC</t>
        </is>
      </c>
    </row>
    <row r="2">
      <c r="A2" s="2" t="inlineStr">
        <is>
          <t>By Highway 38 Solutions  -  The general sheets from the H38 Contractor Calc, in one workbook - the standard calculators, their reference tables and the business tools</t>
        </is>
      </c>
    </row>
    <row r="3"/>
    <row r="4" ht="42" customHeight="1">
      <c r="A4" s="3" t="inlineStr">
        <is>
          <t>What this is</t>
        </is>
      </c>
      <c r="B4" s="4" t="inlineStr">
        <is>
          <t>The general calculators from the free H38 Contractor Calc web app, as a workbook you keep. Standard: the numbers everyone runs. Standard Reference: the look-it-up tables behind them. Business Tools: labor burden, equipment cost per hour, and the job-cost tracker.</t>
        </is>
      </c>
    </row>
    <row r="5" ht="60" customHeight="1">
      <c r="A5" s="3" t="inlineStr">
        <is>
          <t>Start in this order</t>
        </is>
      </c>
      <c r="B5" s="4" t="inlineStr">
        <is>
          <t>1) Standard - job bids, break-even day rate, markup vs. margin, mileage, materials, amps/kW.  2) Business Tools - what an hour of labor really costs, what a machine really costs per hour, and whether a job made money.  3) Standard Reference - the markup-to-margin table, concrete coverage per yard, real lumber sizes and the fraction-to-decimal chart.</t>
        </is>
      </c>
    </row>
    <row r="6" ht="42" customHeight="1">
      <c r="A6" s="3" t="inlineStr">
        <is>
          <t>Yellow cells</t>
        </is>
      </c>
      <c r="B6" s="4" t="inlineStr">
        <is>
          <t>Yellow = you type here. White / grey cells are formulas - don't type over them, or that calculation will stop working. Percent cells: type them as percents (20%), not decimals.</t>
        </is>
      </c>
    </row>
    <row r="7" ht="42" customHeight="1">
      <c r="A7" s="3" t="inlineStr">
        <is>
          <t>Example data</t>
        </is>
      </c>
      <c r="B7" s="4" t="inlineStr">
        <is>
          <t>Every calculator opens with the same example numbers as the web app, so the two match side by side. Replace them with your shop's real numbers before quoting a customer.</t>
        </is>
      </c>
    </row>
    <row r="8" ht="42" customHeight="1">
      <c r="A8" s="3" t="inlineStr">
        <is>
          <t>The business kit</t>
        </is>
      </c>
      <c r="B8" s="4" t="inlineStr">
        <is>
          <t>The business kit (bids, break-even, markup vs. margin, mileage, materials, amps/kW) lives on the Standard sheet - the app shows it on every trade tab; the book keeps it in one place so the sheets stay short.</t>
        </is>
      </c>
    </row>
    <row r="9" ht="42" customHeight="1">
      <c r="A9" s="3" t="inlineStr">
        <is>
          <t>Tax note</t>
        </is>
      </c>
      <c r="B9" s="4" t="inlineStr">
        <is>
          <t>Mileage uses the IRS standard rate shown on the Standard sheet (72.5 cents per mile for 2026, per the app). Check irs.gov for the current rate for your tax year. This workbook helps you run numbers; it is not tax or code advice.</t>
        </is>
      </c>
    </row>
    <row r="10" ht="42" customHeight="1">
      <c r="A10" s="3" t="inlineStr">
        <is>
          <t>Estimates only</t>
        </is>
      </c>
      <c r="B10" s="4" t="inlineStr">
        <is>
          <t>Results are estimates for planning and quoting conversations - verify load calculations, code requirements, and tax figures against the governing standard (Manual J, the NEC, IRS publications) and your own books before you build, bid, or file on them.</t>
        </is>
      </c>
    </row>
    <row r="11"/>
    <row r="12">
      <c r="A12" s="5" t="inlineStr">
        <is>
          <t>Sheets:  Standard  -  Standard Reference  -  Business Tools</t>
        </is>
      </c>
    </row>
    <row r="13"/>
    <row r="14">
      <c r="A14" s="14" t="inlineStr">
        <is>
          <t>QUICK REFERENCE SHEETS</t>
        </is>
      </c>
    </row>
    <row r="15" ht="60" customHeight="1">
      <c r="A15" s="14" t="inlineStr">
        <is>
          <t>Standard Reference</t>
        </is>
      </c>
      <c r="B15" s="55" t="inlineStr">
        <is>
          <t>Markup-to-margin table (see what a 25% markup really keeps), concrete coverage per yard by slab thickness, real lumber sizes vs. the tag, and a sixteenths fraction-to-decimal chart.</t>
        </is>
      </c>
    </row>
    <row r="16" ht="60" customHeight="1">
      <c r="A16" s="14" t="inlineStr">
        <is>
          <t>Reference sources</t>
        </is>
      </c>
      <c r="B16" s="55" t="inlineStr">
        <is>
          <t>Tables come from the standards the trades work to: NIST PS 20 lumber sizes. Local amendments and equipment nameplates win over any quick table.</t>
        </is>
      </c>
    </row>
    <row r="17"/>
    <row r="18">
      <c r="A18" s="14" t="inlineStr">
        <is>
          <t>MORE CALCULATORS</t>
        </is>
      </c>
    </row>
    <row r="19">
      <c r="A19" s="14" t="inlineStr">
        <is>
          <t>Business Tools</t>
        </is>
      </c>
      <c r="B19" s="9" t="inlineStr">
        <is>
          <t>Labor burden - what an hour of labor really costs and the billable rate at your margin; equipment owning cost per hour; and a job-cost tracker (budget vs. actual).</t>
        </is>
      </c>
    </row>
    <row r="20"/>
    <row r="21">
      <c r="A21" s="3" t="inlineStr">
        <is>
          <t>More charts</t>
        </is>
      </c>
      <c r="B21" s="9" t="inlineStr">
        <is>
          <t>New quick-reference charts: roof pitch and stair charts on Standard Reference.</t>
        </is>
      </c>
    </row>
    <row r="22"/>
    <row r="23"/>
    <row r="24"/>
    <row r="25"/>
    <row r="26"/>
    <row r="27"/>
    <row r="28"/>
    <row r="29"/>
    <row r="30"/>
    <row r="31"/>
    <row r="32"/>
    <row r="33"/>
    <row r="34"/>
    <row r="35"/>
    <row r="36"/>
    <row r="37"/>
    <row r="38"/>
    <row r="39"/>
    <row r="40"/>
  </sheetData>
  <mergeCells count="3">
    <mergeCell ref="A2:B2"/>
    <mergeCell ref="A12:B12"/>
    <mergeCell ref="A1:B1"/>
  </mergeCells>
  <printOptions horizontalCentered="1"/>
  <pageMargins left="0.75" right="0.75" top="1" bottom="1" header="0.5" footer="0.5"/>
  <pageSetup orientation="portrait" fitToHeight="1"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22"/>
  <sheetViews>
    <sheetView workbookViewId="0">
      <selection activeCell="A1" sqref="A1"/>
    </sheetView>
  </sheetViews>
  <sheetFormatPr baseColWidth="8" defaultRowHeight="15"/>
  <cols>
    <col width="42" customWidth="1" min="1" max="1"/>
    <col width="18" customWidth="1" min="2" max="2"/>
    <col width="62" customWidth="1" min="3" max="3"/>
  </cols>
  <sheetData>
    <row r="1" ht="24" customHeight="1">
      <c r="A1" s="6" t="inlineStr">
        <is>
          <t>STANDARD - The calculators everyone gets</t>
        </is>
      </c>
    </row>
    <row r="2">
      <c r="A2" s="7" t="inlineStr">
        <is>
          <t>Job bids, break-even, markup vs. margin, mileage, materials, and amps to kilowatts - the standard kit, whatever your trade.</t>
        </is>
      </c>
    </row>
    <row r="4" ht="20" customHeight="1">
      <c r="A4" s="8" t="inlineStr">
        <is>
          <t>1 - JOB BID PRICER - price a job from your real costs</t>
        </is>
      </c>
    </row>
    <row r="5">
      <c r="A5" s="9" t="inlineStr">
        <is>
          <t>Labor hours</t>
        </is>
      </c>
      <c r="B5" s="10" t="n">
        <v>16</v>
      </c>
    </row>
    <row r="6">
      <c r="A6" s="9" t="inlineStr">
        <is>
          <t>Labor cost per hour ($, wage + burden)</t>
        </is>
      </c>
      <c r="B6" s="11" t="n">
        <v>45</v>
      </c>
    </row>
    <row r="7">
      <c r="A7" s="9" t="inlineStr">
        <is>
          <t>Materials cost ($)</t>
        </is>
      </c>
      <c r="B7" s="11" t="n">
        <v>850</v>
      </c>
    </row>
    <row r="8">
      <c r="A8" s="9" t="inlineStr">
        <is>
          <t>Materials markup</t>
        </is>
      </c>
      <c r="B8" s="12" t="n">
        <v>0.2</v>
      </c>
    </row>
    <row r="9">
      <c r="A9" s="9" t="inlineStr">
        <is>
          <t>Subs, rentals &amp; permits ($)</t>
        </is>
      </c>
      <c r="B9" s="11" t="n">
        <v>0</v>
      </c>
    </row>
    <row r="10">
      <c r="A10" s="9" t="inlineStr">
        <is>
          <t>Overhead on the job</t>
        </is>
      </c>
      <c r="B10" s="12" t="n">
        <v>0.1</v>
      </c>
    </row>
    <row r="11">
      <c r="A11" s="9" t="inlineStr">
        <is>
          <t>Profit markup</t>
        </is>
      </c>
      <c r="B11" s="12" t="n">
        <v>0.15</v>
      </c>
    </row>
    <row r="12">
      <c r="A12" s="9" t="inlineStr">
        <is>
          <t>Labor</t>
        </is>
      </c>
      <c r="B12" s="13">
        <f>B5*B6</f>
        <v/>
      </c>
    </row>
    <row r="13">
      <c r="A13" s="9" t="inlineStr">
        <is>
          <t>Materials (with markup)</t>
        </is>
      </c>
      <c r="B13" s="13">
        <f>B7*(1+B8)</f>
        <v/>
      </c>
    </row>
    <row r="14">
      <c r="A14" s="9" t="inlineStr">
        <is>
          <t>Direct costs subtotal</t>
        </is>
      </c>
      <c r="B14" s="13">
        <f>B12+B13+B9</f>
        <v/>
      </c>
    </row>
    <row r="15">
      <c r="A15" s="9" t="inlineStr">
        <is>
          <t>Overhead amount</t>
        </is>
      </c>
      <c r="B15" s="13">
        <f>B14*B10</f>
        <v/>
      </c>
    </row>
    <row r="16">
      <c r="A16" s="9" t="inlineStr">
        <is>
          <t>Profit amount</t>
        </is>
      </c>
      <c r="B16" s="13">
        <f>(B14+B15)*B11</f>
        <v/>
      </c>
    </row>
    <row r="17">
      <c r="A17" s="14" t="inlineStr">
        <is>
          <t>BID PRICE</t>
        </is>
      </c>
      <c r="B17" s="15">
        <f>B14+B15+B16</f>
        <v/>
      </c>
    </row>
    <row r="18">
      <c r="A18" s="9" t="inlineStr">
        <is>
          <t>Effective rate per labor hour</t>
        </is>
      </c>
      <c r="B18" s="13">
        <f>IF(B5&gt;0,B17/B5,0)</f>
        <v/>
      </c>
    </row>
    <row r="19">
      <c r="A19" s="9" t="inlineStr">
        <is>
          <t>Gross margin on the bid</t>
        </is>
      </c>
      <c r="B19" s="16">
        <f>IF(B17&gt;0,B16/B17,0)</f>
        <v/>
      </c>
    </row>
    <row r="20" ht="28" customHeight="1">
      <c r="A20" s="17" t="inlineStr">
        <is>
          <t>Overhead % covers the costs that aren't on this job - truck, insurance, phone, shop, office time. If you don't know yours, the Break-Even Day Rate below will back into it.</t>
        </is>
      </c>
    </row>
    <row r="22" ht="20" customHeight="1">
      <c r="A22" s="8" t="inlineStr">
        <is>
          <t>2 - BREAK-EVEN DAY RATE - what a crew day has to bring in</t>
        </is>
      </c>
    </row>
    <row r="23">
      <c r="A23" s="9" t="inlineStr">
        <is>
          <t>Crew size (people)</t>
        </is>
      </c>
      <c r="B23" s="10" t="n">
        <v>2</v>
      </c>
    </row>
    <row r="24">
      <c r="A24" s="9" t="inlineStr">
        <is>
          <t>Average wage per person ($)</t>
        </is>
      </c>
      <c r="B24" s="11" t="n">
        <v>32</v>
      </c>
    </row>
    <row r="25">
      <c r="A25" s="9" t="inlineStr">
        <is>
          <t>Payroll burden (taxes, comp, benefits)</t>
        </is>
      </c>
      <c r="B25" s="12" t="n">
        <v>0.25</v>
      </c>
    </row>
    <row r="26">
      <c r="A26" s="9" t="inlineStr">
        <is>
          <t>Hours per day</t>
        </is>
      </c>
      <c r="B26" s="18" t="n">
        <v>8</v>
      </c>
    </row>
    <row r="27">
      <c r="A27" s="9" t="inlineStr">
        <is>
          <t>Billable days per month</t>
        </is>
      </c>
      <c r="B27" s="10" t="n">
        <v>20</v>
      </c>
    </row>
    <row r="28">
      <c r="A28" s="9" t="inlineStr">
        <is>
          <t>Monthly overhead ($)</t>
        </is>
      </c>
      <c r="B28" s="11" t="n">
        <v>4500</v>
      </c>
    </row>
    <row r="29">
      <c r="A29" s="9" t="inlineStr">
        <is>
          <t>Target profit margin</t>
        </is>
      </c>
      <c r="B29" s="12" t="n">
        <v>0.15</v>
      </c>
    </row>
    <row r="30">
      <c r="A30" s="9" t="inlineStr">
        <is>
          <t>Labor cost per day</t>
        </is>
      </c>
      <c r="B30" s="13">
        <f>MAX(B23,1)*B24*(1+B25)*B26</f>
        <v/>
      </c>
    </row>
    <row r="31">
      <c r="A31" s="9" t="inlineStr">
        <is>
          <t>Overhead per day</t>
        </is>
      </c>
      <c r="B31" s="13">
        <f>B28/MAX(B27,1)</f>
        <v/>
      </c>
    </row>
    <row r="32">
      <c r="A32" s="9" t="inlineStr">
        <is>
          <t>Break-even per day (no profit)</t>
        </is>
      </c>
      <c r="B32" s="13">
        <f>B30+B31</f>
        <v/>
      </c>
    </row>
    <row r="33">
      <c r="A33" s="14" t="inlineStr">
        <is>
          <t>CHARGE PER CREW DAY</t>
        </is>
      </c>
      <c r="B33" s="15">
        <f>IF(B29&gt;0,B32/(1-MIN(B29,0.95)),B32)</f>
        <v/>
      </c>
    </row>
    <row r="34">
      <c r="A34" s="9" t="inlineStr">
        <is>
          <t>Charge per tech-hour</t>
        </is>
      </c>
      <c r="B34" s="13">
        <f>B33/IF(MAX(B23,1)*B26=0,1,MAX(B23,1)*B26)</f>
        <v/>
      </c>
    </row>
    <row r="35">
      <c r="A35" s="9" t="inlineStr">
        <is>
          <t>Revenue needed per month</t>
        </is>
      </c>
      <c r="B35" s="13">
        <f>B33*MAX(B27,1)</f>
        <v/>
      </c>
    </row>
    <row r="36" ht="28" customHeight="1">
      <c r="A36" s="17" t="inlineStr">
        <is>
          <t>Billable days are the honest number - days the crew is actually on paying work. Rain days, callbacks, and estimate runs don't bill.</t>
        </is>
      </c>
    </row>
    <row r="38" ht="20" customHeight="1">
      <c r="A38" s="8" t="inlineStr">
        <is>
          <t>3 - MARKUP / MARGIN - they are not the same number</t>
        </is>
      </c>
    </row>
    <row r="39">
      <c r="A39" s="14" t="inlineStr">
        <is>
          <t>From markup:</t>
        </is>
      </c>
    </row>
    <row r="40">
      <c r="A40" s="9" t="inlineStr">
        <is>
          <t>Your cost ($)</t>
        </is>
      </c>
      <c r="B40" s="11" t="n">
        <v>1000</v>
      </c>
    </row>
    <row r="41">
      <c r="A41" s="9" t="inlineStr">
        <is>
          <t>Markup on cost</t>
        </is>
      </c>
      <c r="B41" s="12" t="n">
        <v>0.25</v>
      </c>
    </row>
    <row r="42">
      <c r="A42" s="14" t="inlineStr">
        <is>
          <t>Selling price</t>
        </is>
      </c>
      <c r="B42" s="15">
        <f>B40*(1+B41)</f>
        <v/>
      </c>
    </row>
    <row r="43">
      <c r="A43" s="9" t="inlineStr">
        <is>
          <t>Margin on price</t>
        </is>
      </c>
      <c r="B43" s="16">
        <f>IF(B42&gt;0,(B42-B40)/B42,0)</f>
        <v/>
      </c>
    </row>
    <row r="44">
      <c r="A44" s="9" t="inlineStr">
        <is>
          <t>Profit kept</t>
        </is>
      </c>
      <c r="B44" s="13">
        <f>B42-B40</f>
        <v/>
      </c>
    </row>
    <row r="45">
      <c r="A45" s="14" t="inlineStr">
        <is>
          <t>From margin:</t>
        </is>
      </c>
    </row>
    <row r="46">
      <c r="A46" s="9" t="inlineStr">
        <is>
          <t>Your cost ($) - same cost as above</t>
        </is>
      </c>
      <c r="B46" s="13">
        <f>B40</f>
        <v/>
      </c>
    </row>
    <row r="47">
      <c r="A47" s="9" t="inlineStr">
        <is>
          <t>Margin on price</t>
        </is>
      </c>
      <c r="B47" s="12" t="n">
        <v>0.2</v>
      </c>
    </row>
    <row r="48">
      <c r="A48" s="14" t="inlineStr">
        <is>
          <t>Selling price</t>
        </is>
      </c>
      <c r="B48" s="15">
        <f>IF(B47&gt;=1,0,B46/(1-MIN(B47,0.99)))</f>
        <v/>
      </c>
    </row>
    <row r="49">
      <c r="A49" s="9" t="inlineStr">
        <is>
          <t>Markup on cost</t>
        </is>
      </c>
      <c r="B49" s="16">
        <f>IF(B46&gt;0,(B48-B46)/B46,0)</f>
        <v/>
      </c>
    </row>
    <row r="50">
      <c r="A50" s="9" t="inlineStr">
        <is>
          <t>Profit kept</t>
        </is>
      </c>
      <c r="B50" s="13">
        <f>B48-B46</f>
        <v/>
      </c>
    </row>
    <row r="51" ht="28" customHeight="1">
      <c r="A51" s="17" t="inlineStr">
        <is>
          <t>The classic trap: marking everything up 20% feels safe, but that's only a 16.7% margin - before overhead eats it. Price on margin when the number has to survive the month. (The app rounds the solved percent to one decimal; the book keeps full precision.)</t>
        </is>
      </c>
    </row>
    <row r="53" ht="20" customHeight="1">
      <c r="A53" s="8" t="inlineStr">
        <is>
          <t>4 - MILEAGE DEDUCTION - business miles in a personal vehicle</t>
        </is>
      </c>
    </row>
    <row r="54">
      <c r="A54" s="9" t="inlineStr">
        <is>
          <t>Miles per trip (round trip)</t>
        </is>
      </c>
      <c r="B54" s="18" t="n">
        <v>46</v>
      </c>
    </row>
    <row r="55">
      <c r="A55" s="9" t="inlineStr">
        <is>
          <t>Trips</t>
        </is>
      </c>
      <c r="B55" s="10" t="n">
        <v>60</v>
      </c>
    </row>
    <row r="56">
      <c r="A56" s="9" t="inlineStr">
        <is>
          <t>Rate per mile ($, IRS standard)</t>
        </is>
      </c>
      <c r="B56" s="19" t="n">
        <v>0.725</v>
      </c>
    </row>
    <row r="57">
      <c r="A57" s="9" t="inlineStr">
        <is>
          <t>Total business miles</t>
        </is>
      </c>
      <c r="B57" s="20">
        <f>B54*B55</f>
        <v/>
      </c>
    </row>
    <row r="58">
      <c r="A58" s="14" t="inlineStr">
        <is>
          <t>DEDUCTION VALUE</t>
        </is>
      </c>
      <c r="B58" s="15">
        <f>B57*B56</f>
        <v/>
      </c>
    </row>
    <row r="59">
      <c r="A59" s="9" t="inlineStr">
        <is>
          <t>Value per trip</t>
        </is>
      </c>
      <c r="B59" s="13">
        <f>B54*B56</f>
        <v/>
      </c>
    </row>
    <row r="60" ht="28" customHeight="1">
      <c r="A60" s="17" t="inlineStr">
        <is>
          <t>Rate shown is the IRS standard mileage rate for 2026: 72.5 cents per mile - edit it if your tax year or books use a different figure, and check irs.gov for the current rate. It's a deduction against taxable income, not cash back - and it only counts if the miles are logged.</t>
        </is>
      </c>
    </row>
    <row r="62" ht="20" customHeight="1">
      <c r="A62" s="8" t="inlineStr">
        <is>
          <t>5 - MATERIAL ESTIMATOR - order quantities, waste included</t>
        </is>
      </c>
    </row>
    <row r="63">
      <c r="A63" s="14" t="inlineStr">
        <is>
          <t>Concrete:</t>
        </is>
      </c>
    </row>
    <row r="64">
      <c r="A64" s="9" t="inlineStr">
        <is>
          <t>Length (ft)</t>
        </is>
      </c>
      <c r="B64" s="18" t="n">
        <v>10</v>
      </c>
    </row>
    <row r="65">
      <c r="A65" s="9" t="inlineStr">
        <is>
          <t>Width (ft)</t>
        </is>
      </c>
      <c r="B65" s="18" t="n">
        <v>10</v>
      </c>
    </row>
    <row r="66">
      <c r="A66" s="9" t="inlineStr">
        <is>
          <t>Thickness / depth (in)</t>
        </is>
      </c>
      <c r="B66" s="18" t="n">
        <v>4</v>
      </c>
    </row>
    <row r="67">
      <c r="A67" s="9" t="inlineStr">
        <is>
          <t>Extra for waste &amp; uneven grade</t>
        </is>
      </c>
      <c r="B67" s="12" t="n">
        <v>0.1</v>
      </c>
    </row>
    <row r="68">
      <c r="A68" s="9" t="inlineStr">
        <is>
          <t>Volume with waste (cubic ft)</t>
        </is>
      </c>
      <c r="B68" s="21">
        <f>B64*B65*(B66/12)*(1+B67)</f>
        <v/>
      </c>
    </row>
    <row r="69">
      <c r="A69" s="9" t="inlineStr">
        <is>
          <t>Exact volume (cubic yards, no waste)</t>
        </is>
      </c>
      <c r="B69" s="21">
        <f>B64*B65*(B66/12)/27</f>
        <v/>
      </c>
    </row>
    <row r="70">
      <c r="A70" s="14" t="inlineStr">
        <is>
          <t>CONCRETE TO ORDER (cubic yards)</t>
        </is>
      </c>
      <c r="B70" s="22">
        <f>B69*(1+B67)</f>
        <v/>
      </c>
    </row>
    <row r="71">
      <c r="A71" s="9" t="inlineStr">
        <is>
          <t>Or 80-lb bags (0.6 cu ft each)</t>
        </is>
      </c>
      <c r="B71" s="20">
        <f>CEILING(B68/0.6,1)</f>
        <v/>
      </c>
    </row>
    <row r="72">
      <c r="A72" s="9" t="inlineStr">
        <is>
          <t>Or 60-lb bags (0.45 cu ft each)</t>
        </is>
      </c>
      <c r="B72" s="20">
        <f>CEILING(B68/0.45,1)</f>
        <v/>
      </c>
    </row>
    <row r="74">
      <c r="A74" s="14" t="inlineStr">
        <is>
          <t>Paint:</t>
        </is>
      </c>
    </row>
    <row r="75">
      <c r="A75" s="9" t="inlineStr">
        <is>
          <t>Room length (ft)</t>
        </is>
      </c>
      <c r="B75" s="18" t="n">
        <v>12</v>
      </c>
    </row>
    <row r="76">
      <c r="A76" s="9" t="inlineStr">
        <is>
          <t>Room width (ft)</t>
        </is>
      </c>
      <c r="B76" s="18" t="n">
        <v>12</v>
      </c>
    </row>
    <row r="77">
      <c r="A77" s="9" t="inlineStr">
        <is>
          <t>Ceiling height (ft)</t>
        </is>
      </c>
      <c r="B77" s="18" t="n">
        <v>8</v>
      </c>
    </row>
    <row r="78">
      <c r="A78" s="9" t="inlineStr">
        <is>
          <t>Painting</t>
        </is>
      </c>
      <c r="B78" s="23" t="inlineStr">
        <is>
          <t>Walls only</t>
        </is>
      </c>
      <c r="C78" s="24" t="inlineStr">
        <is>
          <t>Pick from the dropdown: Walls only, or Walls + ceiling</t>
        </is>
      </c>
    </row>
    <row r="79">
      <c r="A79" s="9" t="inlineStr">
        <is>
          <t>Doors (21 sq ft each)</t>
        </is>
      </c>
      <c r="B79" s="10" t="n">
        <v>1</v>
      </c>
    </row>
    <row r="80">
      <c r="A80" s="9" t="inlineStr">
        <is>
          <t>Windows (15 sq ft each)</t>
        </is>
      </c>
      <c r="B80" s="10" t="n">
        <v>2</v>
      </c>
    </row>
    <row r="81">
      <c r="A81" s="9" t="inlineStr">
        <is>
          <t>Coats</t>
        </is>
      </c>
      <c r="B81" s="10" t="n">
        <v>2</v>
      </c>
    </row>
    <row r="82">
      <c r="A82" s="9" t="inlineStr">
        <is>
          <t>Coverage per gallon (sq ft)</t>
        </is>
      </c>
      <c r="B82" s="10" t="n">
        <v>350</v>
      </c>
    </row>
    <row r="83">
      <c r="A83" s="9" t="inlineStr">
        <is>
          <t>Paintable area (sq ft)</t>
        </is>
      </c>
      <c r="B83" s="20">
        <f>MAX(0,2*(B75+B76)*B77+IF(B78="Walls + ceiling",B75*B76,0)-B79*21-B80*15)</f>
        <v/>
      </c>
    </row>
    <row r="84">
      <c r="A84" s="14" t="inlineStr">
        <is>
          <t>PAINT NEEDED (gallons)</t>
        </is>
      </c>
      <c r="B84" s="25">
        <f>IF(B82&gt;0,B83*B81/B82,0)</f>
        <v/>
      </c>
    </row>
    <row r="85">
      <c r="A85" s="9" t="inlineStr">
        <is>
          <t>Buy (whole gallons)</t>
        </is>
      </c>
      <c r="B85" s="20">
        <f>CEILING(B84,1)</f>
        <v/>
      </c>
    </row>
    <row r="87">
      <c r="A87" s="14" t="inlineStr">
        <is>
          <t>Drywall:</t>
        </is>
      </c>
    </row>
    <row r="88">
      <c r="A88" s="9" t="inlineStr">
        <is>
          <t>Room length (ft)</t>
        </is>
      </c>
      <c r="B88" s="18" t="n">
        <v>12</v>
      </c>
    </row>
    <row r="89">
      <c r="A89" s="9" t="inlineStr">
        <is>
          <t>Room width (ft)</t>
        </is>
      </c>
      <c r="B89" s="18" t="n">
        <v>12</v>
      </c>
    </row>
    <row r="90">
      <c r="A90" s="9" t="inlineStr">
        <is>
          <t>Ceiling height (ft)</t>
        </is>
      </c>
      <c r="B90" s="18" t="n">
        <v>8</v>
      </c>
    </row>
    <row r="91">
      <c r="A91" s="9" t="inlineStr">
        <is>
          <t>Covering</t>
        </is>
      </c>
      <c r="B91" s="23" t="inlineStr">
        <is>
          <t>Walls + ceiling</t>
        </is>
      </c>
      <c r="C91" s="24" t="inlineStr">
        <is>
          <t>Pick from the dropdown</t>
        </is>
      </c>
    </row>
    <row r="92">
      <c r="A92" s="9" t="inlineStr">
        <is>
          <t>Sheet size (sq ft: 32 = 4x8, 48 = 4x12)</t>
        </is>
      </c>
      <c r="B92" s="10" t="n">
        <v>32</v>
      </c>
    </row>
    <row r="93">
      <c r="A93" s="9" t="inlineStr">
        <is>
          <t>Waste &amp; cuts</t>
        </is>
      </c>
      <c r="B93" s="12" t="n">
        <v>0.1</v>
      </c>
    </row>
    <row r="94">
      <c r="A94" s="9" t="inlineStr">
        <is>
          <t>Surface to cover (sq ft)</t>
        </is>
      </c>
      <c r="B94" s="20">
        <f>2*(B88+B89)*B90+IF(B91="Walls + ceiling",B88*B89,0)</f>
        <v/>
      </c>
    </row>
    <row r="95">
      <c r="A95" s="9" t="inlineStr">
        <is>
          <t>With waste figured in (sq ft)</t>
        </is>
      </c>
      <c r="B95" s="20">
        <f>B94*(1+B93)</f>
        <v/>
      </c>
    </row>
    <row r="96">
      <c r="A96" s="14" t="inlineStr">
        <is>
          <t>SHEETS TO BUY</t>
        </is>
      </c>
      <c r="B96" s="26">
        <f>IF(B92&gt;0,CEILING(B95/B92,1),0)</f>
        <v/>
      </c>
    </row>
    <row r="98">
      <c r="A98" s="14" t="inlineStr">
        <is>
          <t>Flooring:</t>
        </is>
      </c>
    </row>
    <row r="99">
      <c r="A99" s="9" t="inlineStr">
        <is>
          <t>Room length (ft)</t>
        </is>
      </c>
      <c r="B99" s="18" t="n">
        <v>12</v>
      </c>
    </row>
    <row r="100">
      <c r="A100" s="9" t="inlineStr">
        <is>
          <t>Room width (ft)</t>
        </is>
      </c>
      <c r="B100" s="18" t="n">
        <v>15</v>
      </c>
    </row>
    <row r="101">
      <c r="A101" s="9" t="inlineStr">
        <is>
          <t>Waste (10% straight lay, 15% diagonal)</t>
        </is>
      </c>
      <c r="B101" s="12" t="n">
        <v>0.1</v>
      </c>
    </row>
    <row r="102">
      <c r="A102" s="9" t="inlineStr">
        <is>
          <t>Coverage per box (sq ft)</t>
        </is>
      </c>
      <c r="B102" s="10" t="n">
        <v>20</v>
      </c>
    </row>
    <row r="103">
      <c r="A103" s="9" t="inlineStr">
        <is>
          <t>Floor area (sq ft)</t>
        </is>
      </c>
      <c r="B103" s="20">
        <f>B99*B100</f>
        <v/>
      </c>
    </row>
    <row r="104">
      <c r="A104" s="9" t="inlineStr">
        <is>
          <t>Material to buy, with waste (sq ft)</t>
        </is>
      </c>
      <c r="B104" s="20">
        <f>B103*(1+B101)</f>
        <v/>
      </c>
    </row>
    <row r="105">
      <c r="A105" s="14" t="inlineStr">
        <is>
          <t>BOXES TO BUY</t>
        </is>
      </c>
      <c r="B105" s="26">
        <f>IF(B102&gt;0,CEILING(B104/B102,1),0)</f>
        <v/>
      </c>
    </row>
    <row r="106" ht="28" customHeight="1">
      <c r="A106" s="17" t="inlineStr">
        <is>
          <t>For a footing, concrete length is the whole trench run and width x thickness is the trench cross-section. Ready-mix is sold by the cubic yard - the waste extra is cheaper than a second truck.</t>
        </is>
      </c>
    </row>
    <row r="108" ht="20" customHeight="1">
      <c r="A108" s="8" t="inlineStr">
        <is>
          <t>6 - AMPS / KILOWATTS - a plain conversion, standard for everyone</t>
        </is>
      </c>
    </row>
    <row r="109">
      <c r="A109" s="9" t="inlineStr">
        <is>
          <t>Service (1 = single phase, 3 = three phase)</t>
        </is>
      </c>
      <c r="B109" s="10" t="n">
        <v>1</v>
      </c>
      <c r="C109" s="24" t="inlineStr">
        <is>
          <t>Pick 1 or 3 from the dropdown</t>
        </is>
      </c>
    </row>
    <row r="110">
      <c r="A110" s="9" t="inlineStr">
        <is>
          <t>Volts</t>
        </is>
      </c>
      <c r="B110" s="10" t="n">
        <v>240</v>
      </c>
    </row>
    <row r="111">
      <c r="A111" s="9" t="inlineStr">
        <is>
          <t>Power factor (1.0 heaters, 0.8-0.9 motors)</t>
        </is>
      </c>
      <c r="B111" s="27" t="n">
        <v>1</v>
      </c>
    </row>
    <row r="112">
      <c r="A112" s="9" t="inlineStr">
        <is>
          <t>Power factor used (out-of-range resets to 1.0)</t>
        </is>
      </c>
      <c r="B112" s="21">
        <f>IF(OR(B111&lt;=0,B111&gt;1),1,B111)</f>
        <v/>
      </c>
    </row>
    <row r="113">
      <c r="A113" s="9" t="inlineStr">
        <is>
          <t>Phase factor (sqrt(3) on three phase)</t>
        </is>
      </c>
      <c r="B113" s="21">
        <f>IF(B109=3,SQRT(3),1)</f>
        <v/>
      </c>
    </row>
    <row r="114">
      <c r="A114" s="14" t="inlineStr">
        <is>
          <t>From amps:</t>
        </is>
      </c>
    </row>
    <row r="115">
      <c r="A115" s="9" t="inlineStr">
        <is>
          <t>Amps</t>
        </is>
      </c>
      <c r="B115" s="18" t="n">
        <v>30</v>
      </c>
    </row>
    <row r="116">
      <c r="A116" s="14" t="inlineStr">
        <is>
          <t>LOAD (kW)</t>
        </is>
      </c>
      <c r="B116" s="22">
        <f>B113*B110*B115*B112/1000</f>
        <v/>
      </c>
    </row>
    <row r="117">
      <c r="A117" s="9" t="inlineStr">
        <is>
          <t>Apparent power (VA)</t>
        </is>
      </c>
      <c r="B117" s="20">
        <f>B113*B110*B115</f>
        <v/>
      </c>
    </row>
    <row r="118">
      <c r="A118" s="14" t="inlineStr">
        <is>
          <t>From kilowatts:</t>
        </is>
      </c>
    </row>
    <row r="119">
      <c r="A119" s="9" t="inlineStr">
        <is>
          <t>Kilowatts</t>
        </is>
      </c>
      <c r="B119" s="27" t="n">
        <v>7.2</v>
      </c>
    </row>
    <row r="120">
      <c r="A120" s="14" t="inlineStr">
        <is>
          <t>DRAW (amps)</t>
        </is>
      </c>
      <c r="B120" s="25">
        <f>IF(B110&gt;0,B119*1000/(B113*B110*B112),0)</f>
        <v/>
      </c>
    </row>
    <row r="121">
      <c r="A121" s="9" t="inlineStr">
        <is>
          <t>Apparent power (VA)</t>
        </is>
      </c>
      <c r="B121" s="20">
        <f>B113*B110*B120</f>
        <v/>
      </c>
    </row>
    <row r="122" ht="28" customHeight="1">
      <c r="A122" s="17" t="inlineStr">
        <is>
          <t>The generator and service-size question: add up the kW, then check it against the panel. Continuous loads get sized at 125%.</t>
        </is>
      </c>
    </row>
  </sheetData>
  <mergeCells count="14">
    <mergeCell ref="A60:C60"/>
    <mergeCell ref="A36:C36"/>
    <mergeCell ref="A108:C108"/>
    <mergeCell ref="A1:C1"/>
    <mergeCell ref="A22:C22"/>
    <mergeCell ref="A62:C62"/>
    <mergeCell ref="A106:C106"/>
    <mergeCell ref="A122:C122"/>
    <mergeCell ref="A53:C53"/>
    <mergeCell ref="A4:C4"/>
    <mergeCell ref="A20:C20"/>
    <mergeCell ref="A38:C38"/>
    <mergeCell ref="A2:C2"/>
    <mergeCell ref="A51:C51"/>
  </mergeCells>
  <dataValidations count="3">
    <dataValidation sqref="B78" showDropDown="0" showInputMessage="0" showErrorMessage="0" allowBlank="0" type="list">
      <formula1>"Walls only,Walls + ceiling"</formula1>
    </dataValidation>
    <dataValidation sqref="B91" showDropDown="0" showInputMessage="0" showErrorMessage="0" allowBlank="0" type="list">
      <formula1>"Walls only,Walls + ceiling"</formula1>
    </dataValidation>
    <dataValidation sqref="B109" showDropDown="0" showInputMessage="0" showErrorMessage="0" allowBlank="0" type="list">
      <formula1>"1,3"</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31"/>
  <sheetViews>
    <sheetView workbookViewId="0">
      <selection activeCell="A1" sqref="A1"/>
    </sheetView>
  </sheetViews>
  <sheetFormatPr baseColWidth="8" defaultRowHeight="15"/>
  <cols>
    <col width="40" customWidth="1" min="1" max="1"/>
    <col width="20" customWidth="1" min="2" max="2"/>
    <col width="20" customWidth="1" min="3" max="3"/>
    <col width="34" customWidth="1" min="4" max="4"/>
    <col width="20" customWidth="1" min="5" max="5"/>
  </cols>
  <sheetData>
    <row r="1" ht="24" customHeight="1">
      <c r="A1" s="56" t="inlineStr">
        <is>
          <t>STANDARD REFERENCE - Markup to margin, coverage &amp; lumber sizes</t>
        </is>
      </c>
    </row>
    <row r="2" ht="28" customHeight="1">
      <c r="A2" s="57" t="inlineStr">
        <is>
          <t>The look-it-up numbers behind the Standard calculators - conversions, coverage and real lumber sizes. Nothing to type: these are the answers, not the math.</t>
        </is>
      </c>
    </row>
    <row r="4" ht="20" customHeight="1">
      <c r="A4" s="35" t="inlineStr">
        <is>
          <t>MARKUP TO MARGIN - the same profit, two ways to say it</t>
        </is>
      </c>
    </row>
    <row r="5">
      <c r="A5" s="14" t="inlineStr">
        <is>
          <t>Markup on cost</t>
        </is>
      </c>
      <c r="B5" s="14" t="inlineStr">
        <is>
          <t>Price on a $100 cost</t>
        </is>
      </c>
      <c r="C5" s="14" t="inlineStr">
        <is>
          <t>Margin on price</t>
        </is>
      </c>
    </row>
    <row r="6">
      <c r="A6" s="58" t="n">
        <v>0.05</v>
      </c>
      <c r="B6" s="59">
        <f>100*(1+A6)</f>
        <v/>
      </c>
      <c r="C6" s="60">
        <f>A6/(1+A6)</f>
        <v/>
      </c>
    </row>
    <row r="7">
      <c r="A7" s="58" t="n">
        <v>0.1</v>
      </c>
      <c r="B7" s="59">
        <f>100*(1+A7)</f>
        <v/>
      </c>
      <c r="C7" s="60">
        <f>A7/(1+A7)</f>
        <v/>
      </c>
    </row>
    <row r="8">
      <c r="A8" s="58" t="n">
        <v>0.15</v>
      </c>
      <c r="B8" s="59">
        <f>100*(1+A8)</f>
        <v/>
      </c>
      <c r="C8" s="60">
        <f>A8/(1+A8)</f>
        <v/>
      </c>
    </row>
    <row r="9">
      <c r="A9" s="58" t="n">
        <v>0.2</v>
      </c>
      <c r="B9" s="59">
        <f>100*(1+A9)</f>
        <v/>
      </c>
      <c r="C9" s="60">
        <f>A9/(1+A9)</f>
        <v/>
      </c>
    </row>
    <row r="10">
      <c r="A10" s="58" t="n">
        <v>0.25</v>
      </c>
      <c r="B10" s="59">
        <f>100*(1+A10)</f>
        <v/>
      </c>
      <c r="C10" s="60">
        <f>A10/(1+A10)</f>
        <v/>
      </c>
    </row>
    <row r="11">
      <c r="A11" s="58" t="n">
        <v>0.3</v>
      </c>
      <c r="B11" s="59">
        <f>100*(1+A11)</f>
        <v/>
      </c>
      <c r="C11" s="60">
        <f>A11/(1+A11)</f>
        <v/>
      </c>
    </row>
    <row r="12">
      <c r="A12" s="58" t="n">
        <v>0.35</v>
      </c>
      <c r="B12" s="59">
        <f>100*(1+A12)</f>
        <v/>
      </c>
      <c r="C12" s="60">
        <f>A12/(1+A12)</f>
        <v/>
      </c>
    </row>
    <row r="13">
      <c r="A13" s="58" t="n">
        <v>0.4</v>
      </c>
      <c r="B13" s="59">
        <f>100*(1+A13)</f>
        <v/>
      </c>
      <c r="C13" s="60">
        <f>A13/(1+A13)</f>
        <v/>
      </c>
    </row>
    <row r="14">
      <c r="A14" s="58" t="n">
        <v>0.45</v>
      </c>
      <c r="B14" s="59">
        <f>100*(1+A14)</f>
        <v/>
      </c>
      <c r="C14" s="60">
        <f>A14/(1+A14)</f>
        <v/>
      </c>
    </row>
    <row r="15">
      <c r="A15" s="58" t="n">
        <v>0.5</v>
      </c>
      <c r="B15" s="59">
        <f>100*(1+A15)</f>
        <v/>
      </c>
      <c r="C15" s="60">
        <f>A15/(1+A15)</f>
        <v/>
      </c>
    </row>
    <row r="16">
      <c r="A16" s="58" t="n">
        <v>0.6</v>
      </c>
      <c r="B16" s="59">
        <f>100*(1+A16)</f>
        <v/>
      </c>
      <c r="C16" s="60">
        <f>A16/(1+A16)</f>
        <v/>
      </c>
    </row>
    <row r="17">
      <c r="A17" s="58" t="n">
        <v>0.75</v>
      </c>
      <c r="B17" s="59">
        <f>100*(1+A17)</f>
        <v/>
      </c>
      <c r="C17" s="60">
        <f>A17/(1+A17)</f>
        <v/>
      </c>
    </row>
    <row r="18">
      <c r="A18" s="58" t="n">
        <v>1</v>
      </c>
      <c r="B18" s="59">
        <f>100*(1+A18)</f>
        <v/>
      </c>
      <c r="C18" s="60">
        <f>A18/(1+A18)</f>
        <v/>
      </c>
    </row>
    <row r="19" ht="42" customHeight="1">
      <c r="A19" s="61" t="inlineStr">
        <is>
          <t>The trap the Markup / Margin calculator on the Standard sheet is built around: a 25% markup is only a 20% margin. If the number in your head is the profit you keep, work from the margin column.</t>
        </is>
      </c>
    </row>
    <row r="21" ht="20" customHeight="1">
      <c r="A21" s="35" t="inlineStr">
        <is>
          <t>CONCRETE COVERAGE - square feet one cubic yard covers</t>
        </is>
      </c>
    </row>
    <row r="22">
      <c r="A22" s="14" t="inlineStr">
        <is>
          <t>Slab thickness (in)</t>
        </is>
      </c>
      <c r="B22" s="14" t="inlineStr">
        <is>
          <t>Sq ft per cubic yard</t>
        </is>
      </c>
    </row>
    <row r="23">
      <c r="A23" s="62" t="n">
        <v>2</v>
      </c>
      <c r="B23" s="63">
        <f>324/A23</f>
        <v/>
      </c>
    </row>
    <row r="24">
      <c r="A24" s="62" t="n">
        <v>3</v>
      </c>
      <c r="B24" s="63">
        <f>324/A24</f>
        <v/>
      </c>
    </row>
    <row r="25">
      <c r="A25" s="62" t="n">
        <v>3.5</v>
      </c>
      <c r="B25" s="63">
        <f>324/A25</f>
        <v/>
      </c>
    </row>
    <row r="26">
      <c r="A26" s="62" t="n">
        <v>4</v>
      </c>
      <c r="B26" s="63">
        <f>324/A26</f>
        <v/>
      </c>
    </row>
    <row r="27">
      <c r="A27" s="62" t="n">
        <v>5</v>
      </c>
      <c r="B27" s="63">
        <f>324/A27</f>
        <v/>
      </c>
    </row>
    <row r="28">
      <c r="A28" s="62" t="n">
        <v>6</v>
      </c>
      <c r="B28" s="63">
        <f>324/A28</f>
        <v/>
      </c>
    </row>
    <row r="29">
      <c r="A29" s="62" t="n">
        <v>8</v>
      </c>
      <c r="B29" s="63">
        <f>324/A29</f>
        <v/>
      </c>
    </row>
    <row r="30">
      <c r="A30" s="62" t="n">
        <v>10</v>
      </c>
      <c r="B30" s="63">
        <f>324/A30</f>
        <v/>
      </c>
    </row>
    <row r="31">
      <c r="A31" s="62" t="n">
        <v>12</v>
      </c>
      <c r="B31" s="63">
        <f>324/A31</f>
        <v/>
      </c>
    </row>
    <row r="32" ht="28" customHeight="1">
      <c r="A32" s="61" t="inlineStr">
        <is>
          <t>Exact coverage before waste - the Material Estimator on the Standard sheet adds your waste allowance and works the same math from your slab dimensions.</t>
        </is>
      </c>
    </row>
    <row r="34" ht="20" customHeight="1">
      <c r="A34" s="35" t="inlineStr">
        <is>
          <t>LUMBER - the size on the tag vs. the size on the tape</t>
        </is>
      </c>
    </row>
    <row r="35">
      <c r="A35" s="14" t="inlineStr">
        <is>
          <t>Nominal size</t>
        </is>
      </c>
      <c r="B35" s="14" t="inlineStr">
        <is>
          <t>Actual thickness (in)</t>
        </is>
      </c>
      <c r="C35" s="14" t="inlineStr">
        <is>
          <t>Actual width (in)</t>
        </is>
      </c>
    </row>
    <row r="36">
      <c r="A36" s="9" t="inlineStr">
        <is>
          <t>1×4</t>
        </is>
      </c>
      <c r="B36" s="64" t="n">
        <v>0.75</v>
      </c>
      <c r="C36" s="64" t="n">
        <v>3.5</v>
      </c>
    </row>
    <row r="37">
      <c r="A37" s="9" t="inlineStr">
        <is>
          <t>1×6</t>
        </is>
      </c>
      <c r="B37" s="64" t="n">
        <v>0.75</v>
      </c>
      <c r="C37" s="64" t="n">
        <v>5.5</v>
      </c>
    </row>
    <row r="38">
      <c r="A38" s="9" t="inlineStr">
        <is>
          <t>1×8</t>
        </is>
      </c>
      <c r="B38" s="64" t="n">
        <v>0.75</v>
      </c>
      <c r="C38" s="64" t="n">
        <v>7.25</v>
      </c>
    </row>
    <row r="39">
      <c r="A39" s="9" t="inlineStr">
        <is>
          <t>1×10</t>
        </is>
      </c>
      <c r="B39" s="64" t="n">
        <v>0.75</v>
      </c>
      <c r="C39" s="64" t="n">
        <v>9.25</v>
      </c>
    </row>
    <row r="40">
      <c r="A40" s="9" t="inlineStr">
        <is>
          <t>1×12</t>
        </is>
      </c>
      <c r="B40" s="64" t="n">
        <v>0.75</v>
      </c>
      <c r="C40" s="64" t="n">
        <v>11.25</v>
      </c>
    </row>
    <row r="41">
      <c r="A41" s="9" t="inlineStr">
        <is>
          <t>2×4</t>
        </is>
      </c>
      <c r="B41" s="64" t="n">
        <v>1.5</v>
      </c>
      <c r="C41" s="64" t="n">
        <v>3.5</v>
      </c>
    </row>
    <row r="42">
      <c r="A42" s="9" t="inlineStr">
        <is>
          <t>2×6</t>
        </is>
      </c>
      <c r="B42" s="64" t="n">
        <v>1.5</v>
      </c>
      <c r="C42" s="64" t="n">
        <v>5.5</v>
      </c>
    </row>
    <row r="43">
      <c r="A43" s="9" t="inlineStr">
        <is>
          <t>2×8</t>
        </is>
      </c>
      <c r="B43" s="64" t="n">
        <v>1.5</v>
      </c>
      <c r="C43" s="64" t="n">
        <v>7.25</v>
      </c>
    </row>
    <row r="44">
      <c r="A44" s="9" t="inlineStr">
        <is>
          <t>2×10</t>
        </is>
      </c>
      <c r="B44" s="64" t="n">
        <v>1.5</v>
      </c>
      <c r="C44" s="64" t="n">
        <v>9.25</v>
      </c>
    </row>
    <row r="45">
      <c r="A45" s="9" t="inlineStr">
        <is>
          <t>2×12</t>
        </is>
      </c>
      <c r="B45" s="64" t="n">
        <v>1.5</v>
      </c>
      <c r="C45" s="64" t="n">
        <v>11.25</v>
      </c>
    </row>
    <row r="46">
      <c r="A46" s="9" t="inlineStr">
        <is>
          <t>4×4</t>
        </is>
      </c>
      <c r="B46" s="64" t="n">
        <v>3.5</v>
      </c>
      <c r="C46" s="64" t="n">
        <v>3.5</v>
      </c>
    </row>
    <row r="47">
      <c r="A47" s="9" t="inlineStr">
        <is>
          <t>4×6</t>
        </is>
      </c>
      <c r="B47" s="64" t="n">
        <v>3.5</v>
      </c>
      <c r="C47" s="64" t="n">
        <v>5.5</v>
      </c>
    </row>
    <row r="48">
      <c r="A48" s="9" t="inlineStr">
        <is>
          <t>6×6</t>
        </is>
      </c>
      <c r="B48" s="64" t="n">
        <v>5.5</v>
      </c>
      <c r="C48" s="64" t="n">
        <v>5.5</v>
      </c>
    </row>
    <row r="49" ht="42" customHeight="1">
      <c r="A49" s="61" t="inlineStr">
        <is>
          <t>Sheet goods: a 4×8 sheet covers 32 sq ft whatever it is. Plywood thickness runs shy of the tag too - 3/4 in plywood actually measures 23/32 in. Board feet = thickness (in) × width (in) × length (ft) ÷ 12, so a 2×6 eight feet long is 8 board feet.</t>
        </is>
      </c>
    </row>
    <row r="51" ht="20" customHeight="1">
      <c r="A51" s="35" t="inlineStr">
        <is>
          <t>FRACTIONS TO DECIMALS - sixteenths</t>
        </is>
      </c>
    </row>
    <row r="52">
      <c r="A52" s="14" t="inlineStr">
        <is>
          <t>Fraction (in)</t>
        </is>
      </c>
      <c r="B52" s="14" t="inlineStr">
        <is>
          <t>Decimal (in)</t>
        </is>
      </c>
      <c r="C52" s="14" t="inlineStr">
        <is>
          <t>Millimeters</t>
        </is>
      </c>
    </row>
    <row r="53">
      <c r="A53" s="9" t="inlineStr">
        <is>
          <t>1/16</t>
        </is>
      </c>
      <c r="B53" s="65">
        <f>1/16</f>
        <v/>
      </c>
      <c r="C53" s="64">
        <f>B53*25.4</f>
        <v/>
      </c>
    </row>
    <row r="54">
      <c r="A54" s="9" t="inlineStr">
        <is>
          <t>2/16</t>
        </is>
      </c>
      <c r="B54" s="65">
        <f>2/16</f>
        <v/>
      </c>
      <c r="C54" s="64">
        <f>B54*25.4</f>
        <v/>
      </c>
    </row>
    <row r="55">
      <c r="A55" s="9" t="inlineStr">
        <is>
          <t>3/16</t>
        </is>
      </c>
      <c r="B55" s="65">
        <f>3/16</f>
        <v/>
      </c>
      <c r="C55" s="64">
        <f>B55*25.4</f>
        <v/>
      </c>
    </row>
    <row r="56">
      <c r="A56" s="9" t="inlineStr">
        <is>
          <t>4/16</t>
        </is>
      </c>
      <c r="B56" s="65">
        <f>4/16</f>
        <v/>
      </c>
      <c r="C56" s="64">
        <f>B56*25.4</f>
        <v/>
      </c>
    </row>
    <row r="57">
      <c r="A57" s="9" t="inlineStr">
        <is>
          <t>5/16</t>
        </is>
      </c>
      <c r="B57" s="65">
        <f>5/16</f>
        <v/>
      </c>
      <c r="C57" s="64">
        <f>B57*25.4</f>
        <v/>
      </c>
    </row>
    <row r="58">
      <c r="A58" s="9" t="inlineStr">
        <is>
          <t>6/16</t>
        </is>
      </c>
      <c r="B58" s="65">
        <f>6/16</f>
        <v/>
      </c>
      <c r="C58" s="64">
        <f>B58*25.4</f>
        <v/>
      </c>
    </row>
    <row r="59">
      <c r="A59" s="9" t="inlineStr">
        <is>
          <t>7/16</t>
        </is>
      </c>
      <c r="B59" s="65">
        <f>7/16</f>
        <v/>
      </c>
      <c r="C59" s="64">
        <f>B59*25.4</f>
        <v/>
      </c>
    </row>
    <row r="60">
      <c r="A60" s="9" t="inlineStr">
        <is>
          <t>8/16</t>
        </is>
      </c>
      <c r="B60" s="65">
        <f>8/16</f>
        <v/>
      </c>
      <c r="C60" s="64">
        <f>B60*25.4</f>
        <v/>
      </c>
    </row>
    <row r="61">
      <c r="A61" s="9" t="inlineStr">
        <is>
          <t>9/16</t>
        </is>
      </c>
      <c r="B61" s="65">
        <f>9/16</f>
        <v/>
      </c>
      <c r="C61" s="64">
        <f>B61*25.4</f>
        <v/>
      </c>
    </row>
    <row r="62">
      <c r="A62" s="9" t="inlineStr">
        <is>
          <t>10/16</t>
        </is>
      </c>
      <c r="B62" s="65">
        <f>10/16</f>
        <v/>
      </c>
      <c r="C62" s="64">
        <f>B62*25.4</f>
        <v/>
      </c>
    </row>
    <row r="63">
      <c r="A63" s="9" t="inlineStr">
        <is>
          <t>11/16</t>
        </is>
      </c>
      <c r="B63" s="65">
        <f>11/16</f>
        <v/>
      </c>
      <c r="C63" s="64">
        <f>B63*25.4</f>
        <v/>
      </c>
    </row>
    <row r="64">
      <c r="A64" s="9" t="inlineStr">
        <is>
          <t>12/16</t>
        </is>
      </c>
      <c r="B64" s="65">
        <f>12/16</f>
        <v/>
      </c>
      <c r="C64" s="64">
        <f>B64*25.4</f>
        <v/>
      </c>
    </row>
    <row r="65">
      <c r="A65" s="9" t="inlineStr">
        <is>
          <t>13/16</t>
        </is>
      </c>
      <c r="B65" s="65">
        <f>13/16</f>
        <v/>
      </c>
      <c r="C65" s="64">
        <f>B65*25.4</f>
        <v/>
      </c>
    </row>
    <row r="66">
      <c r="A66" s="9" t="inlineStr">
        <is>
          <t>14/16</t>
        </is>
      </c>
      <c r="B66" s="65">
        <f>14/16</f>
        <v/>
      </c>
      <c r="C66" s="64">
        <f>B66*25.4</f>
        <v/>
      </c>
    </row>
    <row r="67">
      <c r="A67" s="9" t="inlineStr">
        <is>
          <t>15/16</t>
        </is>
      </c>
      <c r="B67" s="65">
        <f>15/16</f>
        <v/>
      </c>
      <c r="C67" s="64">
        <f>B67*25.4</f>
        <v/>
      </c>
    </row>
    <row r="68">
      <c r="A68" s="9" t="inlineStr">
        <is>
          <t>1</t>
        </is>
      </c>
      <c r="B68" s="65">
        <f>16/16</f>
        <v/>
      </c>
      <c r="C68" s="64">
        <f>B68*25.4</f>
        <v/>
      </c>
    </row>
    <row r="70" ht="42" customHeight="1">
      <c r="A70" s="61" t="inlineStr">
        <is>
          <t>Sources: markup/margin and concrete coverage are straight arithmetic (coverage = 324 ÷ thickness in inches). Lumber actual sizes per the NIST PS 20 softwood lumber standard. Fractions are exact.</t>
        </is>
      </c>
    </row>
    <row r="72">
      <c r="A72" s="35" t="inlineStr">
        <is>
          <t>ROOF PITCH - angle, slope factor &amp; rafter multiplier by pitch</t>
        </is>
      </c>
    </row>
    <row r="73">
      <c r="A73" s="14" t="inlineStr">
        <is>
          <t>Pitch (rise / 12 run)</t>
        </is>
      </c>
      <c r="B73" s="14" t="inlineStr">
        <is>
          <t>Angle (°)</t>
        </is>
      </c>
      <c r="C73" s="14" t="inlineStr">
        <is>
          <t>Slope factor (roof area)</t>
        </is>
      </c>
      <c r="D73" s="14" t="inlineStr">
        <is>
          <t>Rafter length per ft of run</t>
        </is>
      </c>
    </row>
    <row r="74">
      <c r="A74" s="9" t="inlineStr">
        <is>
          <t>1/12</t>
        </is>
      </c>
      <c r="B74" s="62">
        <f>DEGREES(ATAN(1/12))</f>
        <v/>
      </c>
      <c r="C74" s="67">
        <f>SQRT(1+(1/12)^2)</f>
        <v/>
      </c>
      <c r="D74" s="67">
        <f>SQRT(1+(1/12)^2)</f>
        <v/>
      </c>
    </row>
    <row r="75">
      <c r="A75" s="9" t="inlineStr">
        <is>
          <t>2/12</t>
        </is>
      </c>
      <c r="B75" s="62">
        <f>DEGREES(ATAN(2/12))</f>
        <v/>
      </c>
      <c r="C75" s="67">
        <f>SQRT(1+(2/12)^2)</f>
        <v/>
      </c>
      <c r="D75" s="67">
        <f>SQRT(1+(2/12)^2)</f>
        <v/>
      </c>
    </row>
    <row r="76">
      <c r="A76" s="9" t="inlineStr">
        <is>
          <t>3/12</t>
        </is>
      </c>
      <c r="B76" s="62">
        <f>DEGREES(ATAN(3/12))</f>
        <v/>
      </c>
      <c r="C76" s="67">
        <f>SQRT(1+(3/12)^2)</f>
        <v/>
      </c>
      <c r="D76" s="67">
        <f>SQRT(1+(3/12)^2)</f>
        <v/>
      </c>
    </row>
    <row r="77">
      <c r="A77" s="9" t="inlineStr">
        <is>
          <t>4/12</t>
        </is>
      </c>
      <c r="B77" s="62">
        <f>DEGREES(ATAN(4/12))</f>
        <v/>
      </c>
      <c r="C77" s="67">
        <f>SQRT(1+(4/12)^2)</f>
        <v/>
      </c>
      <c r="D77" s="67">
        <f>SQRT(1+(4/12)^2)</f>
        <v/>
      </c>
    </row>
    <row r="78">
      <c r="A78" s="9" t="inlineStr">
        <is>
          <t>5/12</t>
        </is>
      </c>
      <c r="B78" s="62">
        <f>DEGREES(ATAN(5/12))</f>
        <v/>
      </c>
      <c r="C78" s="67">
        <f>SQRT(1+(5/12)^2)</f>
        <v/>
      </c>
      <c r="D78" s="67">
        <f>SQRT(1+(5/12)^2)</f>
        <v/>
      </c>
    </row>
    <row r="79">
      <c r="A79" s="9" t="inlineStr">
        <is>
          <t>6/12</t>
        </is>
      </c>
      <c r="B79" s="62">
        <f>DEGREES(ATAN(6/12))</f>
        <v/>
      </c>
      <c r="C79" s="67">
        <f>SQRT(1+(6/12)^2)</f>
        <v/>
      </c>
      <c r="D79" s="67">
        <f>SQRT(1+(6/12)^2)</f>
        <v/>
      </c>
    </row>
    <row r="80">
      <c r="A80" s="9" t="inlineStr">
        <is>
          <t>7/12</t>
        </is>
      </c>
      <c r="B80" s="62">
        <f>DEGREES(ATAN(7/12))</f>
        <v/>
      </c>
      <c r="C80" s="67">
        <f>SQRT(1+(7/12)^2)</f>
        <v/>
      </c>
      <c r="D80" s="67">
        <f>SQRT(1+(7/12)^2)</f>
        <v/>
      </c>
    </row>
    <row r="81">
      <c r="A81" s="9" t="inlineStr">
        <is>
          <t>8/12</t>
        </is>
      </c>
      <c r="B81" s="62">
        <f>DEGREES(ATAN(8/12))</f>
        <v/>
      </c>
      <c r="C81" s="67">
        <f>SQRT(1+(8/12)^2)</f>
        <v/>
      </c>
      <c r="D81" s="67">
        <f>SQRT(1+(8/12)^2)</f>
        <v/>
      </c>
    </row>
    <row r="82">
      <c r="A82" s="9" t="inlineStr">
        <is>
          <t>9/12</t>
        </is>
      </c>
      <c r="B82" s="62">
        <f>DEGREES(ATAN(9/12))</f>
        <v/>
      </c>
      <c r="C82" s="67">
        <f>SQRT(1+(9/12)^2)</f>
        <v/>
      </c>
      <c r="D82" s="67">
        <f>SQRT(1+(9/12)^2)</f>
        <v/>
      </c>
    </row>
    <row r="83">
      <c r="A83" s="9" t="inlineStr">
        <is>
          <t>10/12</t>
        </is>
      </c>
      <c r="B83" s="62">
        <f>DEGREES(ATAN(10/12))</f>
        <v/>
      </c>
      <c r="C83" s="67">
        <f>SQRT(1+(10/12)^2)</f>
        <v/>
      </c>
      <c r="D83" s="67">
        <f>SQRT(1+(10/12)^2)</f>
        <v/>
      </c>
    </row>
    <row r="84">
      <c r="A84" s="9" t="inlineStr">
        <is>
          <t>11/12</t>
        </is>
      </c>
      <c r="B84" s="62">
        <f>DEGREES(ATAN(11/12))</f>
        <v/>
      </c>
      <c r="C84" s="67">
        <f>SQRT(1+(11/12)^2)</f>
        <v/>
      </c>
      <c r="D84" s="67">
        <f>SQRT(1+(11/12)^2)</f>
        <v/>
      </c>
    </row>
    <row r="85">
      <c r="A85" s="9" t="inlineStr">
        <is>
          <t>12/12</t>
        </is>
      </c>
      <c r="B85" s="62">
        <f>DEGREES(ATAN(12/12))</f>
        <v/>
      </c>
      <c r="C85" s="67">
        <f>SQRT(1+(12/12)^2)</f>
        <v/>
      </c>
      <c r="D85" s="67">
        <f>SQRT(1+(12/12)^2)</f>
        <v/>
      </c>
    </row>
    <row r="86">
      <c r="A86" s="9" t="inlineStr">
        <is>
          <t>13/12</t>
        </is>
      </c>
      <c r="B86" s="62">
        <f>DEGREES(ATAN(13/12))</f>
        <v/>
      </c>
      <c r="C86" s="67">
        <f>SQRT(1+(13/12)^2)</f>
        <v/>
      </c>
      <c r="D86" s="67">
        <f>SQRT(1+(13/12)^2)</f>
        <v/>
      </c>
    </row>
    <row r="87">
      <c r="A87" s="9" t="inlineStr">
        <is>
          <t>14/12</t>
        </is>
      </c>
      <c r="B87" s="62">
        <f>DEGREES(ATAN(14/12))</f>
        <v/>
      </c>
      <c r="C87" s="67">
        <f>SQRT(1+(14/12)^2)</f>
        <v/>
      </c>
      <c r="D87" s="67">
        <f>SQRT(1+(14/12)^2)</f>
        <v/>
      </c>
    </row>
    <row r="88">
      <c r="A88" s="9" t="inlineStr">
        <is>
          <t>15/12</t>
        </is>
      </c>
      <c r="B88" s="62">
        <f>DEGREES(ATAN(15/12))</f>
        <v/>
      </c>
      <c r="C88" s="67">
        <f>SQRT(1+(15/12)^2)</f>
        <v/>
      </c>
      <c r="D88" s="67">
        <f>SQRT(1+(15/12)^2)</f>
        <v/>
      </c>
    </row>
    <row r="89">
      <c r="A89" s="9" t="inlineStr">
        <is>
          <t>16/12</t>
        </is>
      </c>
      <c r="B89" s="62">
        <f>DEGREES(ATAN(16/12))</f>
        <v/>
      </c>
      <c r="C89" s="67">
        <f>SQRT(1+(16/12)^2)</f>
        <v/>
      </c>
      <c r="D89" s="67">
        <f>SQRT(1+(16/12)^2)</f>
        <v/>
      </c>
    </row>
    <row r="90">
      <c r="A90" s="9" t="inlineStr">
        <is>
          <t>17/12</t>
        </is>
      </c>
      <c r="B90" s="62">
        <f>DEGREES(ATAN(17/12))</f>
        <v/>
      </c>
      <c r="C90" s="67">
        <f>SQRT(1+(17/12)^2)</f>
        <v/>
      </c>
      <c r="D90" s="67">
        <f>SQRT(1+(17/12)^2)</f>
        <v/>
      </c>
    </row>
    <row r="91">
      <c r="A91" s="9" t="inlineStr">
        <is>
          <t>18/12</t>
        </is>
      </c>
      <c r="B91" s="62">
        <f>DEGREES(ATAN(18/12))</f>
        <v/>
      </c>
      <c r="C91" s="67">
        <f>SQRT(1+(18/12)^2)</f>
        <v/>
      </c>
      <c r="D91" s="67">
        <f>SQRT(1+(18/12)^2)</f>
        <v/>
      </c>
    </row>
    <row r="92">
      <c r="A92" s="9" t="inlineStr">
        <is>
          <t>19/12</t>
        </is>
      </c>
      <c r="B92" s="62">
        <f>DEGREES(ATAN(19/12))</f>
        <v/>
      </c>
      <c r="C92" s="67">
        <f>SQRT(1+(19/12)^2)</f>
        <v/>
      </c>
      <c r="D92" s="67">
        <f>SQRT(1+(19/12)^2)</f>
        <v/>
      </c>
    </row>
    <row r="93">
      <c r="A93" s="9" t="inlineStr">
        <is>
          <t>20/12</t>
        </is>
      </c>
      <c r="B93" s="62">
        <f>DEGREES(ATAN(20/12))</f>
        <v/>
      </c>
      <c r="C93" s="67">
        <f>SQRT(1+(20/12)^2)</f>
        <v/>
      </c>
      <c r="D93" s="67">
        <f>SQRT(1+(20/12)^2)</f>
        <v/>
      </c>
    </row>
    <row r="94">
      <c r="A94" s="9" t="inlineStr">
        <is>
          <t>21/12</t>
        </is>
      </c>
      <c r="B94" s="62">
        <f>DEGREES(ATAN(21/12))</f>
        <v/>
      </c>
      <c r="C94" s="67">
        <f>SQRT(1+(21/12)^2)</f>
        <v/>
      </c>
      <c r="D94" s="67">
        <f>SQRT(1+(21/12)^2)</f>
        <v/>
      </c>
    </row>
    <row r="95">
      <c r="A95" s="9" t="inlineStr">
        <is>
          <t>22/12</t>
        </is>
      </c>
      <c r="B95" s="62">
        <f>DEGREES(ATAN(22/12))</f>
        <v/>
      </c>
      <c r="C95" s="67">
        <f>SQRT(1+(22/12)^2)</f>
        <v/>
      </c>
      <c r="D95" s="67">
        <f>SQRT(1+(22/12)^2)</f>
        <v/>
      </c>
    </row>
    <row r="96">
      <c r="A96" s="9" t="inlineStr">
        <is>
          <t>23/12</t>
        </is>
      </c>
      <c r="B96" s="62">
        <f>DEGREES(ATAN(23/12))</f>
        <v/>
      </c>
      <c r="C96" s="67">
        <f>SQRT(1+(23/12)^2)</f>
        <v/>
      </c>
      <c r="D96" s="67">
        <f>SQRT(1+(23/12)^2)</f>
        <v/>
      </c>
    </row>
    <row r="97">
      <c r="A97" s="9" t="inlineStr">
        <is>
          <t>24/12</t>
        </is>
      </c>
      <c r="B97" s="62">
        <f>DEGREES(ATAN(24/12))</f>
        <v/>
      </c>
      <c r="C97" s="67">
        <f>SQRT(1+(24/12)^2)</f>
        <v/>
      </c>
      <c r="D97" s="67">
        <f>SQRT(1+(24/12)^2)</f>
        <v/>
      </c>
    </row>
    <row r="98" ht="42" customHeight="1">
      <c r="A98" s="43" t="inlineStr">
        <is>
          <t>Slope factor turns flat (plan) area into real roof area for shingles, metal and underlayment: 2,000 sq ft of floor plan at 6/12 is 2,000 × 1.118 = 2,236 sq ft of roof - about 22.4 squares before waste. The rafter column is the common-rafter length for each foot of horizontal run (before ridge thickness, overhang and birdsmouth adjustments). Hip and valley rafters run longer - figure them with the 17-in-per-foot rule at 45° plan angle, not this table.</t>
        </is>
      </c>
    </row>
    <row r="99" ht="30" customHeight="1">
      <c r="A99" s="43" t="inlineStr">
        <is>
          <t>Source: straight geometry - angle = arctan(rise ÷ 12); slope factor = √(1 + (rise ÷ 12)²), the same factors printed in standard roofing tables.</t>
        </is>
      </c>
    </row>
    <row r="101">
      <c r="A101" s="35" t="inlineStr">
        <is>
          <t>STAIRS - rise &amp; run combinations that work (residential, IRC R311.7)</t>
        </is>
      </c>
    </row>
    <row r="102">
      <c r="A102" s="14" t="inlineStr">
        <is>
          <t>Riser (in)</t>
        </is>
      </c>
      <c r="B102" s="14" t="inlineStr">
        <is>
          <t>Tread (in)</t>
        </is>
      </c>
      <c r="C102" s="14" t="inlineStr">
        <is>
          <t>Riser + tread</t>
        </is>
      </c>
      <c r="D102" s="14" t="inlineStr">
        <is>
          <t>2 × riser + tread</t>
        </is>
      </c>
    </row>
    <row r="103">
      <c r="A103" s="9" t="n">
        <v>7.75</v>
      </c>
      <c r="B103" s="9" t="n">
        <v>10</v>
      </c>
      <c r="C103" s="9">
        <f>A103+B103</f>
        <v/>
      </c>
      <c r="D103" s="9">
        <f>2*A103+B103</f>
        <v/>
      </c>
    </row>
    <row r="104">
      <c r="A104" s="9" t="n">
        <v>7.75</v>
      </c>
      <c r="B104" s="9" t="n">
        <v>10.5</v>
      </c>
      <c r="C104" s="9">
        <f>A104+B104</f>
        <v/>
      </c>
      <c r="D104" s="9">
        <f>2*A104+B104</f>
        <v/>
      </c>
    </row>
    <row r="105">
      <c r="A105" s="9" t="n">
        <v>7.5</v>
      </c>
      <c r="B105" s="9" t="n">
        <v>10.5</v>
      </c>
      <c r="C105" s="9">
        <f>A105+B105</f>
        <v/>
      </c>
      <c r="D105" s="9">
        <f>2*A105+B105</f>
        <v/>
      </c>
    </row>
    <row r="106">
      <c r="A106" s="9" t="n">
        <v>7.5</v>
      </c>
      <c r="B106" s="9" t="n">
        <v>11</v>
      </c>
      <c r="C106" s="9">
        <f>A106+B106</f>
        <v/>
      </c>
      <c r="D106" s="9">
        <f>2*A106+B106</f>
        <v/>
      </c>
    </row>
    <row r="107">
      <c r="A107" s="9" t="n">
        <v>7.25</v>
      </c>
      <c r="B107" s="9" t="n">
        <v>10.5</v>
      </c>
      <c r="C107" s="9">
        <f>A107+B107</f>
        <v/>
      </c>
      <c r="D107" s="9">
        <f>2*A107+B107</f>
        <v/>
      </c>
    </row>
    <row r="108">
      <c r="A108" s="9" t="n">
        <v>7.25</v>
      </c>
      <c r="B108" s="9" t="n">
        <v>11</v>
      </c>
      <c r="C108" s="9">
        <f>A108+B108</f>
        <v/>
      </c>
      <c r="D108" s="9">
        <f>2*A108+B108</f>
        <v/>
      </c>
    </row>
    <row r="109">
      <c r="A109" s="9" t="n">
        <v>7</v>
      </c>
      <c r="B109" s="9" t="n">
        <v>10.5</v>
      </c>
      <c r="C109" s="9">
        <f>A109+B109</f>
        <v/>
      </c>
      <c r="D109" s="9">
        <f>2*A109+B109</f>
        <v/>
      </c>
    </row>
    <row r="110">
      <c r="A110" s="9" t="n">
        <v>7</v>
      </c>
      <c r="B110" s="9" t="n">
        <v>11</v>
      </c>
      <c r="C110" s="9">
        <f>A110+B110</f>
        <v/>
      </c>
      <c r="D110" s="9">
        <f>2*A110+B110</f>
        <v/>
      </c>
    </row>
    <row r="111">
      <c r="A111" s="9" t="n">
        <v>7</v>
      </c>
      <c r="B111" s="9" t="n">
        <v>11.25</v>
      </c>
      <c r="C111" s="9">
        <f>A111+B111</f>
        <v/>
      </c>
      <c r="D111" s="9">
        <f>2*A111+B111</f>
        <v/>
      </c>
    </row>
    <row r="112">
      <c r="A112" s="9" t="n">
        <v>7</v>
      </c>
      <c r="B112" s="9" t="n">
        <v>11.5</v>
      </c>
      <c r="C112" s="9">
        <f>A112+B112</f>
        <v/>
      </c>
      <c r="D112" s="9">
        <f>2*A112+B112</f>
        <v/>
      </c>
    </row>
    <row r="113">
      <c r="A113" s="9" t="n">
        <v>6.75</v>
      </c>
      <c r="B113" s="9" t="n">
        <v>11</v>
      </c>
      <c r="C113" s="9">
        <f>A113+B113</f>
        <v/>
      </c>
      <c r="D113" s="9">
        <f>2*A113+B113</f>
        <v/>
      </c>
    </row>
    <row r="114">
      <c r="A114" s="9" t="n">
        <v>6.5</v>
      </c>
      <c r="B114" s="9" t="n">
        <v>11.5</v>
      </c>
      <c r="C114" s="9">
        <f>A114+B114</f>
        <v/>
      </c>
      <c r="D114" s="9">
        <f>2*A114+B114</f>
        <v/>
      </c>
    </row>
    <row r="115">
      <c r="A115" s="9" t="n">
        <v>6.5</v>
      </c>
      <c r="B115" s="9" t="n">
        <v>12</v>
      </c>
      <c r="C115" s="9">
        <f>A115+B115</f>
        <v/>
      </c>
      <c r="D115" s="9">
        <f>2*A115+B115</f>
        <v/>
      </c>
    </row>
    <row r="116">
      <c r="A116" s="9" t="n">
        <v>6</v>
      </c>
      <c r="B116" s="9" t="n">
        <v>12</v>
      </c>
      <c r="C116" s="9">
        <f>A116+B116</f>
        <v/>
      </c>
      <c r="D116" s="9">
        <f>2*A116+B116</f>
        <v/>
      </c>
    </row>
    <row r="117">
      <c r="A117" s="9" t="n">
        <v>5.5</v>
      </c>
      <c r="B117" s="9" t="n">
        <v>13</v>
      </c>
      <c r="C117" s="9">
        <f>A117+B117</f>
        <v/>
      </c>
      <c r="D117" s="9">
        <f>2*A117+B117</f>
        <v/>
      </c>
    </row>
    <row r="118" ht="42" customHeight="1">
      <c r="A118" s="43" t="inlineStr">
        <is>
          <t>The code box (IRC R311.7.5): riser no more than 7-3/4 in, tread no less than 10 in measured nosing to nosing, and risers in one flight within 3/8 in of each other. The comfort rules that make stairs feel right: riser + tread lands near 17.5-18.5 in and 2 × riser + tread lands at 24-26 in - every row above is inside both. Local amendments and commercial work (IBC: 7 in max riser, 11 in min tread) differ - the local rule wins.</t>
        </is>
      </c>
    </row>
    <row r="120">
      <c r="A120" s="14" t="inlineStr">
        <is>
          <t>FROM YOUR TOTAL RISE - risers, heights and run (10.5 in treads)</t>
        </is>
      </c>
    </row>
    <row r="121">
      <c r="A121" s="14" t="inlineStr">
        <is>
          <t>Total rise, floor to floor (in)</t>
        </is>
      </c>
      <c r="B121" s="14" t="inlineStr">
        <is>
          <t>Risers needed</t>
        </is>
      </c>
      <c r="C121" s="14" t="inlineStr">
        <is>
          <t>Actual riser height (in)</t>
        </is>
      </c>
      <c r="D121" s="14" t="inlineStr">
        <is>
          <t>Treads (risers − 1)</t>
        </is>
      </c>
      <c r="E121" s="14" t="inlineStr">
        <is>
          <t>Total run at 10.5 in treads (in)</t>
        </is>
      </c>
    </row>
    <row r="122">
      <c r="A122" s="9" t="n">
        <v>96</v>
      </c>
      <c r="B122" s="9">
        <f>ROUND(A122/7.25,0)</f>
        <v/>
      </c>
      <c r="C122" s="64">
        <f>A122/B122</f>
        <v/>
      </c>
      <c r="D122" s="9">
        <f>B122-1</f>
        <v/>
      </c>
      <c r="E122" s="9">
        <f>D122*10.5</f>
        <v/>
      </c>
    </row>
    <row r="123">
      <c r="A123" s="9" t="n">
        <v>102</v>
      </c>
      <c r="B123" s="9">
        <f>ROUND(A123/7.25,0)</f>
        <v/>
      </c>
      <c r="C123" s="64">
        <f>A123/B123</f>
        <v/>
      </c>
      <c r="D123" s="9">
        <f>B123-1</f>
        <v/>
      </c>
      <c r="E123" s="9">
        <f>D123*10.5</f>
        <v/>
      </c>
    </row>
    <row r="124">
      <c r="A124" s="9" t="n">
        <v>108</v>
      </c>
      <c r="B124" s="9">
        <f>ROUND(A124/7.25,0)</f>
        <v/>
      </c>
      <c r="C124" s="64">
        <f>A124/B124</f>
        <v/>
      </c>
      <c r="D124" s="9">
        <f>B124-1</f>
        <v/>
      </c>
      <c r="E124" s="9">
        <f>D124*10.5</f>
        <v/>
      </c>
    </row>
    <row r="125">
      <c r="A125" s="9" t="n">
        <v>114</v>
      </c>
      <c r="B125" s="9">
        <f>ROUND(A125/7.25,0)</f>
        <v/>
      </c>
      <c r="C125" s="64">
        <f>A125/B125</f>
        <v/>
      </c>
      <c r="D125" s="9">
        <f>B125-1</f>
        <v/>
      </c>
      <c r="E125" s="9">
        <f>D125*10.5</f>
        <v/>
      </c>
    </row>
    <row r="126">
      <c r="A126" s="9" t="n">
        <v>120</v>
      </c>
      <c r="B126" s="9">
        <f>ROUND(A126/7.25,0)</f>
        <v/>
      </c>
      <c r="C126" s="64">
        <f>A126/B126</f>
        <v/>
      </c>
      <c r="D126" s="9">
        <f>B126-1</f>
        <v/>
      </c>
      <c r="E126" s="9">
        <f>D126*10.5</f>
        <v/>
      </c>
    </row>
    <row r="127">
      <c r="A127" s="9" t="n">
        <v>126</v>
      </c>
      <c r="B127" s="9">
        <f>ROUND(A127/7.25,0)</f>
        <v/>
      </c>
      <c r="C127" s="64">
        <f>A127/B127</f>
        <v/>
      </c>
      <c r="D127" s="9">
        <f>B127-1</f>
        <v/>
      </c>
      <c r="E127" s="9">
        <f>D127*10.5</f>
        <v/>
      </c>
    </row>
    <row r="128">
      <c r="A128" s="9" t="n">
        <v>132</v>
      </c>
      <c r="B128" s="9">
        <f>ROUND(A128/7.25,0)</f>
        <v/>
      </c>
      <c r="C128" s="64">
        <f>A128/B128</f>
        <v/>
      </c>
      <c r="D128" s="9">
        <f>B128-1</f>
        <v/>
      </c>
      <c r="E128" s="9">
        <f>D128*10.5</f>
        <v/>
      </c>
    </row>
    <row r="129">
      <c r="A129" s="9" t="n">
        <v>144</v>
      </c>
      <c r="B129" s="9">
        <f>ROUND(A129/7.25,0)</f>
        <v/>
      </c>
      <c r="C129" s="64">
        <f>A129/B129</f>
        <v/>
      </c>
      <c r="D129" s="9">
        <f>B129-1</f>
        <v/>
      </c>
      <c r="E129" s="9">
        <f>D129*10.5</f>
        <v/>
      </c>
    </row>
    <row r="130" ht="42" customHeight="1">
      <c r="A130" s="43" t="inlineStr">
        <is>
          <t>How it figures: risers = total rise ÷ about 7.25 in, rounded to a whole step; the actual riser height is then exactly total ÷ risers, so every step in the flight is identical (that evenness is what the 3/8 in rule protects). Total run uses 10.5 in treads - swap in your own tread depth by multiplying treads × your depth. Headroom (6 ft 8 in minimum) and landing depth are separate checks this table does not make.</t>
        </is>
      </c>
    </row>
    <row r="131" ht="30" customHeight="1">
      <c r="A131" s="43" t="inlineStr">
        <is>
          <t>Sources: IRC R311.7.5.1 (riser height) and R311.7.5.2 (tread depth); comfort rules are the long-standing stair-design rules of thumb (Blondel), applied as guidelines, not code.</t>
        </is>
      </c>
    </row>
  </sheetData>
  <mergeCells count="17">
    <mergeCell ref="A1:D1"/>
    <mergeCell ref="A118:D118"/>
    <mergeCell ref="A70:D70"/>
    <mergeCell ref="A34:D34"/>
    <mergeCell ref="A131:D131"/>
    <mergeCell ref="A4:D4"/>
    <mergeCell ref="A101:D101"/>
    <mergeCell ref="A21:D21"/>
    <mergeCell ref="A130:D130"/>
    <mergeCell ref="A72:D72"/>
    <mergeCell ref="A19:D19"/>
    <mergeCell ref="A51:D51"/>
    <mergeCell ref="A2:D2"/>
    <mergeCell ref="A99:D99"/>
    <mergeCell ref="A98:D98"/>
    <mergeCell ref="A32:D32"/>
    <mergeCell ref="A49:D49"/>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F65"/>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4" customWidth="1" min="5" max="5"/>
    <col width="60" customWidth="1" min="6" max="6"/>
  </cols>
  <sheetData>
    <row r="1" ht="24" customHeight="1">
      <c r="A1" s="56" t="inlineStr">
        <is>
          <t>BUSINESS TOOLS - Labor burden, equipment cost &amp; job tracking</t>
        </is>
      </c>
    </row>
    <row r="2" ht="28" customHeight="1">
      <c r="A2" s="2" t="inlineStr">
        <is>
          <t>The office numbers: what an hour of labor really costs, what a machine really costs per hour, and whether a job made money.</t>
        </is>
      </c>
    </row>
    <row r="4" ht="20" customHeight="1">
      <c r="A4" s="35" t="inlineStr">
        <is>
          <t>1 - LABOR BURDEN - what an hour of labor really costs</t>
        </is>
      </c>
    </row>
    <row r="5">
      <c r="A5" s="9" t="inlineStr">
        <is>
          <t>Base wage ($/hr)</t>
        </is>
      </c>
      <c r="B5" s="51" t="n">
        <v>30</v>
      </c>
    </row>
    <row r="6">
      <c r="A6" s="9" t="inlineStr">
        <is>
          <t>Social Security &amp; Medicare - FICA</t>
        </is>
      </c>
      <c r="B6" s="68" t="n">
        <v>0.0765</v>
      </c>
      <c r="C6" s="69" t="inlineStr">
        <is>
          <t>Employer share, 7.65% per the IRS.</t>
        </is>
      </c>
    </row>
    <row r="7">
      <c r="A7" s="9" t="inlineStr">
        <is>
          <t>Federal unemployment - FUTA</t>
        </is>
      </c>
      <c r="B7" s="68" t="n">
        <v>0.006</v>
      </c>
      <c r="C7" s="69" t="inlineStr">
        <is>
          <t>0.6% net rate (after the state credit).</t>
        </is>
      </c>
    </row>
    <row r="8">
      <c r="A8" s="9" t="inlineStr">
        <is>
          <t>State unemployment - SUTA</t>
        </is>
      </c>
      <c r="B8" s="68" t="n">
        <v>0.027</v>
      </c>
      <c r="C8" s="69" t="inlineStr">
        <is>
          <t>Your state and rate will differ - this is a common new-employer rate.</t>
        </is>
      </c>
    </row>
    <row r="9">
      <c r="A9" s="9" t="inlineStr">
        <is>
          <t>Workers' comp insurance</t>
        </is>
      </c>
      <c r="B9" s="70" t="n">
        <v>0.08</v>
      </c>
      <c r="C9" s="69" t="inlineStr">
        <is>
          <t>Trades rates run high - use the rate on your policy.</t>
        </is>
      </c>
    </row>
    <row r="10">
      <c r="A10" s="9" t="inlineStr">
        <is>
          <t>Health insurance ($/month per employee)</t>
        </is>
      </c>
      <c r="B10" s="51" t="n">
        <v>600</v>
      </c>
    </row>
    <row r="11">
      <c r="A11" s="9" t="inlineStr">
        <is>
          <t>Retirement contribution</t>
        </is>
      </c>
      <c r="B11" s="70" t="n">
        <v>0.03</v>
      </c>
    </row>
    <row r="12">
      <c r="A12" s="9" t="inlineStr">
        <is>
          <t>Other burden - truck, phone, small tools ($/hr)</t>
        </is>
      </c>
      <c r="B12" s="51" t="n">
        <v>0.5</v>
      </c>
    </row>
    <row r="13">
      <c r="A13" s="9" t="inlineStr">
        <is>
          <t>Paid hours per year</t>
        </is>
      </c>
      <c r="B13" s="36" t="n">
        <v>2080</v>
      </c>
      <c r="C13" s="69" t="inlineStr">
        <is>
          <t>2,080 is 40 hrs x 52 weeks, before holidays and weather days.</t>
        </is>
      </c>
    </row>
    <row r="14">
      <c r="A14" s="9" t="inlineStr">
        <is>
          <t>Target gross margin on labor</t>
        </is>
      </c>
      <c r="B14" s="70" t="n">
        <v>0.2</v>
      </c>
    </row>
    <row r="15">
      <c r="A15" s="9" t="inlineStr">
        <is>
          <t>FICA cost</t>
        </is>
      </c>
      <c r="B15" s="71">
        <f>B5*B6</f>
        <v/>
      </c>
    </row>
    <row r="16">
      <c r="A16" s="9" t="inlineStr">
        <is>
          <t>FUTA cost</t>
        </is>
      </c>
      <c r="B16" s="71">
        <f>B5*B7</f>
        <v/>
      </c>
    </row>
    <row r="17">
      <c r="A17" s="9" t="inlineStr">
        <is>
          <t>SUTA cost</t>
        </is>
      </c>
      <c r="B17" s="71">
        <f>B5*B8</f>
        <v/>
      </c>
    </row>
    <row r="18">
      <c r="A18" s="9" t="inlineStr">
        <is>
          <t>Workers' comp cost</t>
        </is>
      </c>
      <c r="B18" s="71">
        <f>B5*B9</f>
        <v/>
      </c>
    </row>
    <row r="19">
      <c r="A19" s="9" t="inlineStr">
        <is>
          <t>Health insurance cost</t>
        </is>
      </c>
      <c r="B19" s="71">
        <f>IF(B13&gt;0,B10*12/B13,0)</f>
        <v/>
      </c>
    </row>
    <row r="20">
      <c r="A20" s="9" t="inlineStr">
        <is>
          <t>Retirement cost</t>
        </is>
      </c>
      <c r="B20" s="71">
        <f>B5*B11</f>
        <v/>
      </c>
    </row>
    <row r="21">
      <c r="A21" s="9" t="inlineStr">
        <is>
          <t>Other burden</t>
        </is>
      </c>
      <c r="B21" s="71">
        <f>B12</f>
        <v/>
      </c>
    </row>
    <row r="22">
      <c r="A22" s="14" t="inlineStr">
        <is>
          <t>Total burden ($/hr)</t>
        </is>
      </c>
      <c r="B22" s="52">
        <f>SUM(B15:B21)</f>
        <v/>
      </c>
    </row>
    <row r="23">
      <c r="A23" s="9" t="inlineStr">
        <is>
          <t>Burden as a share of the wage</t>
        </is>
      </c>
      <c r="B23" s="72">
        <f>IF(B5&gt;0,B22/B5,0)</f>
        <v/>
      </c>
    </row>
    <row r="24">
      <c r="A24" s="14" t="inlineStr">
        <is>
          <t>TRUE HOURLY COST</t>
        </is>
      </c>
      <c r="B24" s="52">
        <f>B5+B22</f>
        <v/>
      </c>
    </row>
    <row r="25">
      <c r="A25" s="14" t="inlineStr">
        <is>
          <t>BILLABLE RATE at your target margin</t>
        </is>
      </c>
      <c r="B25" s="52">
        <f>IF(B14&lt;1,B24/(1-B14),0)</f>
        <v/>
      </c>
      <c r="C25" s="69" t="inlineStr">
        <is>
          <t>Rate = true cost / (1 - margin). A 20% margin is NOT a 20% markup.</t>
        </is>
      </c>
    </row>
    <row r="26">
      <c r="A26" s="69" t="inlineStr">
        <is>
          <t>FUTA applies to the first $7,000 of wages per employee per year and SUTA to your state's wage base only, so the true burden eases a little once those caps pass. This sheet charges them on every hour, which errs on the safe side. Paid hours that never reach a job (weather, callbacks, shop time) push the real number higher - the Break-Even Day Rate on the Standard sheet is the cross-check.</t>
        </is>
      </c>
    </row>
    <row r="28" ht="20" customHeight="1">
      <c r="A28" s="35" t="inlineStr">
        <is>
          <t>2 - EQUIPMENT OWNING COST PER HOUR - what the machine really costs</t>
        </is>
      </c>
    </row>
    <row r="29">
      <c r="A29" s="9" t="inlineStr">
        <is>
          <t>Purchase price ($)</t>
        </is>
      </c>
      <c r="B29" s="51" t="n">
        <v>85000</v>
      </c>
    </row>
    <row r="30">
      <c r="A30" s="9" t="inlineStr">
        <is>
          <t>Salvage value at end of life</t>
        </is>
      </c>
      <c r="B30" s="70" t="n">
        <v>0.1</v>
      </c>
    </row>
    <row r="31">
      <c r="A31" s="9" t="inlineStr">
        <is>
          <t>Working life (years)</t>
        </is>
      </c>
      <c r="B31" s="36" t="n">
        <v>5</v>
      </c>
    </row>
    <row r="32">
      <c r="A32" s="9" t="inlineStr">
        <is>
          <t>Hours used per year</t>
        </is>
      </c>
      <c r="B32" s="36" t="n">
        <v>1000</v>
      </c>
    </row>
    <row r="33">
      <c r="A33" s="9" t="inlineStr">
        <is>
          <t>Interest, insurance &amp; taxes (% of avg value, per year)</t>
        </is>
      </c>
      <c r="B33" s="70" t="n">
        <v>0.08</v>
      </c>
    </row>
    <row r="34">
      <c r="A34" s="9" t="inlineStr">
        <is>
          <t>Fuel use (gal/hr)</t>
        </is>
      </c>
      <c r="B34" s="73" t="n">
        <v>3</v>
      </c>
    </row>
    <row r="35">
      <c r="A35" s="9" t="inlineStr">
        <is>
          <t>Fuel price ($/gal)</t>
        </is>
      </c>
      <c r="B35" s="51" t="n">
        <v>3.8</v>
      </c>
    </row>
    <row r="36">
      <c r="A36" s="9" t="inlineStr">
        <is>
          <t>Maintenance &amp; repairs ($/year)</t>
        </is>
      </c>
      <c r="B36" s="51" t="n">
        <v>4000</v>
      </c>
    </row>
    <row r="37">
      <c r="A37" s="9" t="inlineStr">
        <is>
          <t>Tires / wear parts ($/hr)</t>
        </is>
      </c>
      <c r="B37" s="51" t="n">
        <v>0.75</v>
      </c>
    </row>
    <row r="38">
      <c r="A38" s="9" t="inlineStr">
        <is>
          <t>Salvage value ($)</t>
        </is>
      </c>
      <c r="B38" s="71">
        <f>B29*B30</f>
        <v/>
      </c>
    </row>
    <row r="39">
      <c r="A39" s="9" t="inlineStr">
        <is>
          <t>Depreciation per year</t>
        </is>
      </c>
      <c r="B39" s="71">
        <f>IF(B31&gt;0,(B29-B38)/B31,0)</f>
        <v/>
      </c>
    </row>
    <row r="40">
      <c r="A40" s="9" t="inlineStr">
        <is>
          <t>Average annual investment</t>
        </is>
      </c>
      <c r="B40" s="71">
        <f>IF(B31&gt;0,(B29*(B31+1)+B38*(B31-1))/(2*B31),0)</f>
        <v/>
      </c>
      <c r="C40" s="69" t="inlineStr">
        <is>
          <t>The average dollar tied up in the machine over its life.</t>
        </is>
      </c>
    </row>
    <row r="41">
      <c r="A41" s="9" t="inlineStr">
        <is>
          <t>Interest, insurance &amp; taxes per year</t>
        </is>
      </c>
      <c r="B41" s="71">
        <f>B40*B33</f>
        <v/>
      </c>
    </row>
    <row r="42">
      <c r="A42" s="9" t="inlineStr">
        <is>
          <t>Owning cost per hour</t>
        </is>
      </c>
      <c r="B42" s="71">
        <f>IF(B32&gt;0,(B39+B40*B33)/B32,0)</f>
        <v/>
      </c>
    </row>
    <row r="43">
      <c r="A43" s="9" t="inlineStr">
        <is>
          <t>Fuel cost per hour</t>
        </is>
      </c>
      <c r="B43" s="71">
        <f>B34*B35</f>
        <v/>
      </c>
    </row>
    <row r="44">
      <c r="A44" s="9" t="inlineStr">
        <is>
          <t>Maintenance cost per hour</t>
        </is>
      </c>
      <c r="B44" s="71">
        <f>IF(B32&gt;0,B36/B32,0)</f>
        <v/>
      </c>
    </row>
    <row r="45">
      <c r="A45" s="14" t="inlineStr">
        <is>
          <t>TOTAL COST PER HOUR</t>
        </is>
      </c>
      <c r="B45" s="52">
        <f>B42+B43+B44+B37</f>
        <v/>
      </c>
      <c r="C45" s="69" t="inlineStr">
        <is>
          <t>Charge at least this per working hour or the machine is quietly losing money.</t>
        </is>
      </c>
    </row>
    <row r="46">
      <c r="A46" s="69" t="inlineStr">
        <is>
          <t>The standard owning-cost method (the one equipment associations and Caterpillar's handbook use): depreciation on the price minus salvage, plus interest, insurance and taxes figured on the average annual investment, spread over the hours actually worked. Operating costs - fuel, maintenance, wear - ride on top. Operator labor is NOT in this number; it is in the labor burden above.</t>
        </is>
      </c>
    </row>
    <row r="48" ht="20" customHeight="1">
      <c r="A48" s="35" t="inlineStr">
        <is>
          <t>3 - JOB COST TRACKER - budget vs. actual</t>
        </is>
      </c>
    </row>
    <row r="49">
      <c r="A49" s="14" t="inlineStr">
        <is>
          <t>Cost category</t>
        </is>
      </c>
      <c r="B49" s="14" t="inlineStr">
        <is>
          <t>Budget ($)</t>
        </is>
      </c>
      <c r="C49" s="14" t="inlineStr">
        <is>
          <t>Actual ($)</t>
        </is>
      </c>
      <c r="D49" s="14" t="inlineStr">
        <is>
          <t>Variance ($)</t>
        </is>
      </c>
      <c r="E49" s="14" t="inlineStr">
        <is>
          <t>% of budget used</t>
        </is>
      </c>
      <c r="F49" s="69" t="inlineStr">
        <is>
          <t>Variance is budget minus actual - a negative variance means over budget.</t>
        </is>
      </c>
    </row>
    <row r="50">
      <c r="A50" s="44" t="inlineStr">
        <is>
          <t>Labor</t>
        </is>
      </c>
      <c r="B50" s="51" t="n">
        <v>4200</v>
      </c>
      <c r="C50" s="51" t="n">
        <v>4650</v>
      </c>
      <c r="D50" s="71">
        <f>B50-C50</f>
        <v/>
      </c>
      <c r="E50" s="72">
        <f>IF(B50=0,0,C50/B50)</f>
        <v/>
      </c>
    </row>
    <row r="51">
      <c r="A51" s="44" t="inlineStr">
        <is>
          <t>Materials</t>
        </is>
      </c>
      <c r="B51" s="51" t="n">
        <v>3100</v>
      </c>
      <c r="C51" s="51" t="n">
        <v>2875</v>
      </c>
      <c r="D51" s="71">
        <f>B51-C51</f>
        <v/>
      </c>
      <c r="E51" s="72">
        <f>IF(B51=0,0,C51/B51)</f>
        <v/>
      </c>
    </row>
    <row r="52">
      <c r="A52" s="44" t="inlineStr">
        <is>
          <t>Subcontractors</t>
        </is>
      </c>
      <c r="B52" s="51" t="n">
        <v>1500</v>
      </c>
      <c r="C52" s="51" t="n">
        <v>1500</v>
      </c>
      <c r="D52" s="71">
        <f>B52-C52</f>
        <v/>
      </c>
      <c r="E52" s="72">
        <f>IF(B52=0,0,C52/B52)</f>
        <v/>
      </c>
    </row>
    <row r="53">
      <c r="A53" s="44" t="inlineStr">
        <is>
          <t>Equipment &amp; rentals</t>
        </is>
      </c>
      <c r="B53" s="51" t="n">
        <v>600</v>
      </c>
      <c r="C53" s="51" t="n">
        <v>540</v>
      </c>
      <c r="D53" s="71">
        <f>B53-C53</f>
        <v/>
      </c>
      <c r="E53" s="72">
        <f>IF(B53=0,0,C53/B53)</f>
        <v/>
      </c>
    </row>
    <row r="54">
      <c r="A54" s="44" t="inlineStr">
        <is>
          <t>Permits &amp; fees</t>
        </is>
      </c>
      <c r="B54" s="51" t="n">
        <v>350</v>
      </c>
      <c r="C54" s="51" t="n">
        <v>385</v>
      </c>
      <c r="D54" s="71">
        <f>B54-C54</f>
        <v/>
      </c>
      <c r="E54" s="72">
        <f>IF(B54=0,0,C54/B54)</f>
        <v/>
      </c>
    </row>
    <row r="55">
      <c r="A55" s="44" t="inlineStr">
        <is>
          <t>Disposal &amp; dump fees</t>
        </is>
      </c>
      <c r="B55" s="51" t="n">
        <v>250</v>
      </c>
      <c r="C55" s="51" t="n">
        <v>210</v>
      </c>
      <c r="D55" s="71">
        <f>B55-C55</f>
        <v/>
      </c>
      <c r="E55" s="72">
        <f>IF(B55=0,0,C55/B55)</f>
        <v/>
      </c>
    </row>
    <row r="56">
      <c r="A56" s="44" t="inlineStr">
        <is>
          <t>Fuel &amp; mileage</t>
        </is>
      </c>
      <c r="B56" s="51" t="n">
        <v>300</v>
      </c>
      <c r="C56" s="51" t="n">
        <v>268</v>
      </c>
      <c r="D56" s="71">
        <f>B56-C56</f>
        <v/>
      </c>
      <c r="E56" s="72">
        <f>IF(B56=0,0,C56/B56)</f>
        <v/>
      </c>
    </row>
    <row r="57">
      <c r="A57" s="44" t="inlineStr">
        <is>
          <t>Other</t>
        </is>
      </c>
      <c r="B57" s="51" t="n">
        <v>200</v>
      </c>
      <c r="C57" s="51" t="n">
        <v>0</v>
      </c>
      <c r="D57" s="71">
        <f>B57-C57</f>
        <v/>
      </c>
      <c r="E57" s="72">
        <f>IF(B57=0,0,C57/B57)</f>
        <v/>
      </c>
    </row>
    <row r="58">
      <c r="A58" s="44" t="inlineStr">
        <is>
          <t>Contingency</t>
        </is>
      </c>
      <c r="B58" s="51" t="n">
        <v>500</v>
      </c>
      <c r="C58" s="51" t="n">
        <v>125</v>
      </c>
      <c r="D58" s="71">
        <f>B58-C58</f>
        <v/>
      </c>
      <c r="E58" s="72">
        <f>IF(B58=0,0,C58/B58)</f>
        <v/>
      </c>
    </row>
    <row r="59">
      <c r="A59" s="47" t="inlineStr">
        <is>
          <t>TOTAL JOB COST</t>
        </is>
      </c>
      <c r="B59" s="52">
        <f>SUM(B50:B58)</f>
        <v/>
      </c>
      <c r="C59" s="52">
        <f>SUM(C50:C58)</f>
        <v/>
      </c>
      <c r="D59" s="52">
        <f>B59-C59</f>
        <v/>
      </c>
      <c r="E59" s="41">
        <f>IF(B59=0,0,C59/B59)</f>
        <v/>
      </c>
    </row>
    <row r="60">
      <c r="A60" s="9" t="inlineStr">
        <is>
          <t>Contract price ($)</t>
        </is>
      </c>
      <c r="B60" s="51" t="n">
        <v>14500</v>
      </c>
    </row>
    <row r="61">
      <c r="A61" s="14" t="inlineStr">
        <is>
          <t>GROSS PROFIT at today's actuals</t>
        </is>
      </c>
      <c r="B61" s="52">
        <f>B60-C59</f>
        <v/>
      </c>
    </row>
    <row r="62">
      <c r="A62" s="9" t="inlineStr">
        <is>
          <t>Gross margin on the job</t>
        </is>
      </c>
      <c r="B62" s="72">
        <f>IF(B60&gt;0,B61/B60,0)</f>
        <v/>
      </c>
    </row>
    <row r="63">
      <c r="A63" s="69" t="inlineStr">
        <is>
          <t>Type over the example numbers job by job. The contingency line is real money in the budget - if the job never touches it, it falls straight to profit. Compare the margin here with the margin you aimed at in the Job Bid Pricer on the Standard sheet; the gap between them is where estimating lessons live.</t>
        </is>
      </c>
    </row>
    <row r="65">
      <c r="A65" s="69" t="inlineStr">
        <is>
          <t>Sources &amp; methods: employer payroll costs per IRS Publication 15 (FICA 7.65%; FUTA 0.6% net on the first $7,000 of wages); state unemployment rates and wage bases vary by state. Equipment owning cost follows the standard average-annual-investment method.</t>
        </is>
      </c>
    </row>
  </sheetData>
  <mergeCells count="9">
    <mergeCell ref="A2:F2"/>
    <mergeCell ref="A63:F63"/>
    <mergeCell ref="A28:F28"/>
    <mergeCell ref="A46:F46"/>
    <mergeCell ref="A1:F1"/>
    <mergeCell ref="A4:F4"/>
    <mergeCell ref="A48:F48"/>
    <mergeCell ref="A26:F26"/>
    <mergeCell ref="A65:F65"/>
  </mergeCell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Highway 38 Solutions</dc:creator>
  <dc:title xmlns:dc="http://purl.org/dc/elements/1.1/">H38 Contractor Calc - Highway 38 Solutions</dc:title>
  <dcterms:created xmlns:dcterms="http://purl.org/dc/terms/" xmlns:xsi="http://www.w3.org/2001/XMLSchema-instance" xsi:type="dcterms:W3CDTF">2026-10-25T21:36:25Z</dcterms:created>
  <dcterms:modified xmlns:dcterms="http://purl.org/dc/terms/" xmlns:xsi="http://www.w3.org/2001/XMLSchema-instance" xsi:type="dcterms:W3CDTF">2026-10-28T03:13:40+00:00Z</dcterms:modified>
</cp:coreProperties>
</file>