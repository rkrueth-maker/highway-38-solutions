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ncrete &amp; Mason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CONCRETE CALC</t>
        </is>
      </c>
    </row>
    <row r="2">
      <c r="A2" s="2" t="inlineStr">
        <is>
          <t>By Highway 38 Solutions  -  The Concrete &amp; Masonry sheet from the H38 Contractor Calc, in a book of its own</t>
        </is>
      </c>
    </row>
    <row r="3"/>
    <row r="4" ht="42" customHeight="1">
      <c r="A4" s="3" t="inlineStr">
        <is>
          <t>What this is</t>
        </is>
      </c>
      <c r="B4" s="4" t="inlineStr">
        <is>
          <t>The Concrete &amp; Masonry sheet from the H38 Contractor Calc workbook, as a book you keep - ready-mix yards and bag counts for slabs and footings, block and brick counts, and a quick reference for what a cubic yard covers.</t>
        </is>
      </c>
    </row>
    <row r="5" ht="42" customHeight="1">
      <c r="A5" s="3" t="inlineStr">
        <is>
          <t>Start in this order</t>
        </is>
      </c>
      <c r="B5" s="4" t="inlineStr">
        <is>
          <t>1) Concrete &amp; Masonry - slabs and footings by the yard or by the bag, and block and brick counts for the wall. One sheet - the tools run top to bottom.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Estimates only</t>
        </is>
      </c>
      <c r="B8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9"/>
    <row r="10">
      <c r="A10" s="5" t="inlineStr">
        <is>
          <t>Sheets:  Concrete &amp; Masonry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:B2"/>
    <mergeCell ref="A10:B10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6" t="inlineStr">
        <is>
          <t>CONCRETE &amp; MASONRY - Yards, bags, block &amp; brick</t>
        </is>
      </c>
    </row>
    <row r="2">
      <c r="A2" s="7" t="inlineStr">
        <is>
          <t>Slabs and footings by the yard or by the bag, and block and brick counts for the wall - quantities for the order, not the design.</t>
        </is>
      </c>
    </row>
    <row r="4" ht="20" customHeight="1">
      <c r="A4" s="8" t="inlineStr">
        <is>
          <t>1 - SLAB - READY-MIX YARDS &amp; BAG COUNT</t>
        </is>
      </c>
    </row>
    <row r="5">
      <c r="A5" s="9" t="inlineStr">
        <is>
          <t>Length (ft)</t>
        </is>
      </c>
      <c r="B5" s="18" t="n">
        <v>20</v>
      </c>
    </row>
    <row r="6">
      <c r="A6" s="9" t="inlineStr">
        <is>
          <t>Width (ft)</t>
        </is>
      </c>
      <c r="B6" s="18" t="n">
        <v>12</v>
      </c>
    </row>
    <row r="7">
      <c r="A7" s="9" t="inlineStr">
        <is>
          <t>Thickness (in)</t>
        </is>
      </c>
      <c r="B7" s="18" t="n">
        <v>4</v>
      </c>
    </row>
    <row r="8">
      <c r="A8" s="9" t="inlineStr">
        <is>
          <t>Extra for waste &amp; uneven grade</t>
        </is>
      </c>
      <c r="B8" s="12" t="n">
        <v>0.1</v>
      </c>
    </row>
    <row r="9">
      <c r="A9" s="9" t="inlineStr">
        <is>
          <t>Exact volume (cubic yards, no waste)</t>
        </is>
      </c>
      <c r="B9" s="21">
        <f>B5*B6*(B7/12)/27</f>
        <v/>
      </c>
    </row>
    <row r="10">
      <c r="A10" s="14" t="inlineStr">
        <is>
          <t>CONCRETE TO ORDER (cubic yards)</t>
        </is>
      </c>
      <c r="B10" s="22">
        <f>B9*(1+B8)</f>
        <v/>
      </c>
    </row>
    <row r="11">
      <c r="A11" s="9" t="inlineStr">
        <is>
          <t>Volume with waste (cubic ft)</t>
        </is>
      </c>
      <c r="B11" s="21">
        <f>B5*B6*(B7/12)*(1+B8)</f>
        <v/>
      </c>
    </row>
    <row r="12">
      <c r="A12" s="9" t="inlineStr">
        <is>
          <t>Or 80-lb bags (0.6 cu ft each)</t>
        </is>
      </c>
      <c r="B12" s="20">
        <f>CEILING(B11/0.6,1)</f>
        <v/>
      </c>
    </row>
    <row r="13">
      <c r="A13" s="9" t="inlineStr">
        <is>
          <t>Or 60-lb bags (0.45 cu ft each)</t>
        </is>
      </c>
      <c r="B13" s="20">
        <f>CEILING(B11/0.45,1)</f>
        <v/>
      </c>
    </row>
    <row r="14">
      <c r="A14" s="9" t="inlineStr">
        <is>
          <t>Or 40-lb bags (0.3 cu ft each)</t>
        </is>
      </c>
      <c r="B14" s="20">
        <f>CEILING(B11/0.3,1)</f>
        <v/>
      </c>
    </row>
    <row r="15" ht="28" customHeight="1">
      <c r="A15" s="17" t="inlineStr">
        <is>
          <t>Bag yields are the mix makers' published figures: an 80-lb bag makes about 0.6 cubic feet of concrete, a 60-lb about 0.45, a 40-lb about 0.30. Past a yard or so, a ready-mix truck usually beats a day of mixing.</t>
        </is>
      </c>
    </row>
    <row r="17" ht="20" customHeight="1">
      <c r="A17" s="8" t="inlineStr">
        <is>
          <t>2 - FOOTING - TRENCH RUN</t>
        </is>
      </c>
    </row>
    <row r="18">
      <c r="A18" s="9" t="inlineStr">
        <is>
          <t>Trench length, whole run (ft)</t>
        </is>
      </c>
      <c r="B18" s="18" t="n">
        <v>40</v>
      </c>
    </row>
    <row r="19">
      <c r="A19" s="9" t="inlineStr">
        <is>
          <t>Trench width (in)</t>
        </is>
      </c>
      <c r="B19" s="18" t="n">
        <v>16</v>
      </c>
    </row>
    <row r="20">
      <c r="A20" s="9" t="inlineStr">
        <is>
          <t>Trench depth (in)</t>
        </is>
      </c>
      <c r="B20" s="18" t="n">
        <v>8</v>
      </c>
    </row>
    <row r="21">
      <c r="A21" s="9" t="inlineStr">
        <is>
          <t>Extra for waste &amp; uneven trench</t>
        </is>
      </c>
      <c r="B21" s="12" t="n">
        <v>0.1</v>
      </c>
    </row>
    <row r="22">
      <c r="A22" s="9" t="inlineStr">
        <is>
          <t>Exact volume (cubic ft)</t>
        </is>
      </c>
      <c r="B22" s="21">
        <f>B18*(B19/12)*(B20/12)</f>
        <v/>
      </c>
    </row>
    <row r="23">
      <c r="A23" s="9" t="inlineStr">
        <is>
          <t>Exact volume (cubic yards)</t>
        </is>
      </c>
      <c r="B23" s="21">
        <f>B22/27</f>
        <v/>
      </c>
    </row>
    <row r="24">
      <c r="A24" s="14" t="inlineStr">
        <is>
          <t>CONCRETE TO ORDER (cubic yards)</t>
        </is>
      </c>
      <c r="B24" s="22">
        <f>B23*(1+B21)</f>
        <v/>
      </c>
    </row>
    <row r="25">
      <c r="A25" s="9" t="inlineStr">
        <is>
          <t>Or 80-lb bags (0.6 cu ft each)</t>
        </is>
      </c>
      <c r="B25" s="20">
        <f>CEILING(B22*(1+B21)/0.6,1)</f>
        <v/>
      </c>
    </row>
    <row r="26" ht="28" customHeight="1">
      <c r="A26" s="17" t="inlineStr">
        <is>
          <t>Figure the whole trench in one run of length. Hand-dug trenches wander wider than the plan - the waste extra is what keeps the last ten feet from coming up short. Frost depth is a code question, not a quantity question.</t>
        </is>
      </c>
    </row>
    <row r="28" ht="20" customHeight="1">
      <c r="A28" s="8" t="inlineStr">
        <is>
          <t>3 - CONCRETE BLOCK COUNT - 8 x 16</t>
        </is>
      </c>
    </row>
    <row r="29">
      <c r="A29" s="9" t="inlineStr">
        <is>
          <t>Wall length (ft)</t>
        </is>
      </c>
      <c r="B29" s="18" t="n">
        <v>40</v>
      </c>
    </row>
    <row r="30">
      <c r="A30" s="9" t="inlineStr">
        <is>
          <t>Wall height (ft)</t>
        </is>
      </c>
      <c r="B30" s="18" t="n">
        <v>8</v>
      </c>
    </row>
    <row r="31">
      <c r="A31" s="9" t="inlineStr">
        <is>
          <t>Waste &amp; breakage</t>
        </is>
      </c>
      <c r="B31" s="12" t="n">
        <v>0.05</v>
      </c>
    </row>
    <row r="32">
      <c r="A32" s="9" t="inlineStr">
        <is>
          <t>Wall area (sq ft)</t>
        </is>
      </c>
      <c r="B32" s="20">
        <f>B29*B30</f>
        <v/>
      </c>
    </row>
    <row r="33">
      <c r="A33" s="9" t="inlineStr">
        <is>
          <t>Blocks before waste (1.125 per sq ft)</t>
        </is>
      </c>
      <c r="B33" s="33">
        <f>B32*1.125</f>
        <v/>
      </c>
    </row>
    <row r="34">
      <c r="A34" s="14" t="inlineStr">
        <is>
          <t>BLOCKS TO BUY</t>
        </is>
      </c>
      <c r="B34" s="26">
        <f>CEILING(B33*(1+B31),1)</f>
        <v/>
      </c>
    </row>
    <row r="35" ht="28" customHeight="1">
      <c r="A35" s="17" t="inlineStr">
        <is>
          <t>A standard 8 x 16 block laid with a 3/8-in mortar joint covers 1.125 blocks per square foot of wall - the factor the block yards quote. Openings: measure them and subtract their area from the wall before you run it.</t>
        </is>
      </c>
    </row>
    <row r="37" ht="20" customHeight="1">
      <c r="A37" s="8" t="inlineStr">
        <is>
          <t>4 - BRICK COUNT - MODULAR, SINGLE WYTHE</t>
        </is>
      </c>
    </row>
    <row r="38">
      <c r="A38" s="9" t="inlineStr">
        <is>
          <t>Wall length (ft)</t>
        </is>
      </c>
      <c r="B38" s="18" t="n">
        <v>20</v>
      </c>
    </row>
    <row r="39">
      <c r="A39" s="9" t="inlineStr">
        <is>
          <t>Wall height (ft)</t>
        </is>
      </c>
      <c r="B39" s="18" t="n">
        <v>8</v>
      </c>
    </row>
    <row r="40">
      <c r="A40" s="9" t="inlineStr">
        <is>
          <t>Waste &amp; breakage</t>
        </is>
      </c>
      <c r="B40" s="12" t="n">
        <v>0.05</v>
      </c>
    </row>
    <row r="41">
      <c r="A41" s="9" t="inlineStr">
        <is>
          <t>Wall area (sq ft)</t>
        </is>
      </c>
      <c r="B41" s="20">
        <f>B38*B39</f>
        <v/>
      </c>
    </row>
    <row r="42">
      <c r="A42" s="9" t="inlineStr">
        <is>
          <t>Bricks before waste (6.55 per sq ft)</t>
        </is>
      </c>
      <c r="B42" s="33">
        <f>B41*6.55</f>
        <v/>
      </c>
    </row>
    <row r="43">
      <c r="A43" s="14" t="inlineStr">
        <is>
          <t>BRICKS TO BUY</t>
        </is>
      </c>
      <c r="B43" s="26">
        <f>CEILING(B42*(1+B40),1)</f>
        <v/>
      </c>
    </row>
    <row r="44" ht="28" customHeight="1">
      <c r="A44" s="17" t="inlineStr">
        <is>
          <t>Modular brick (2-1/4 x 7-5/8 in) with 3/8-in joints runs about 6.55 bricks per square foot - the standard estimating figure. Queen, king and engineered sizes all run different; for those, count off the manufacturer's cube sheet.</t>
        </is>
      </c>
    </row>
    <row r="46" ht="20" customHeight="1">
      <c r="A46" s="8" t="inlineStr">
        <is>
          <t>5 - QUICK REFERENCE - WHAT A CUBIC YARD COVERS</t>
        </is>
      </c>
    </row>
    <row r="47" ht="28" customHeight="1">
      <c r="A47" s="17" t="inlineStr">
        <is>
          <t>Exact arithmetic: one cubic yard is 27 cubic feet, so coverage = 324 / thickness in inches. Read it backwards, too - yards per 100 sq ft is what the order desk wants.</t>
        </is>
      </c>
    </row>
    <row r="48">
      <c r="A48" s="31" t="inlineStr">
        <is>
          <t>Slab thickness (in)</t>
        </is>
      </c>
      <c r="B48" s="31" t="inlineStr">
        <is>
          <t>Coverage per yard (sq ft)</t>
        </is>
      </c>
      <c r="C48" s="31" t="inlineStr">
        <is>
          <t>Yards per 100 sq ft</t>
        </is>
      </c>
    </row>
    <row r="49">
      <c r="A49" s="30" t="n">
        <v>2</v>
      </c>
      <c r="B49" s="88">
        <f>324/A49</f>
        <v/>
      </c>
      <c r="C49" s="89">
        <f>100/B49</f>
        <v/>
      </c>
    </row>
    <row r="50">
      <c r="A50" s="30" t="n">
        <v>3</v>
      </c>
      <c r="B50" s="88">
        <f>324/A50</f>
        <v/>
      </c>
      <c r="C50" s="89">
        <f>100/B50</f>
        <v/>
      </c>
    </row>
    <row r="51">
      <c r="A51" s="30" t="n">
        <v>4</v>
      </c>
      <c r="B51" s="88">
        <f>324/A51</f>
        <v/>
      </c>
      <c r="C51" s="89">
        <f>100/B51</f>
        <v/>
      </c>
    </row>
    <row r="52">
      <c r="A52" s="30" t="n">
        <v>5</v>
      </c>
      <c r="B52" s="88">
        <f>324/A52</f>
        <v/>
      </c>
      <c r="C52" s="89">
        <f>100/B52</f>
        <v/>
      </c>
    </row>
    <row r="53">
      <c r="A53" s="30" t="n">
        <v>6</v>
      </c>
      <c r="B53" s="88">
        <f>324/A53</f>
        <v/>
      </c>
      <c r="C53" s="89">
        <f>100/B53</f>
        <v/>
      </c>
    </row>
    <row r="54">
      <c r="A54" s="30" t="n">
        <v>8</v>
      </c>
      <c r="B54" s="88">
        <f>324/A54</f>
        <v/>
      </c>
      <c r="C54" s="89">
        <f>100/B54</f>
        <v/>
      </c>
    </row>
    <row r="55">
      <c r="A55" s="30" t="n">
        <v>10</v>
      </c>
      <c r="B55" s="88">
        <f>324/A55</f>
        <v/>
      </c>
      <c r="C55" s="89">
        <f>100/B55</f>
        <v/>
      </c>
    </row>
    <row r="56">
      <c r="A56" s="30" t="n">
        <v>12</v>
      </c>
      <c r="B56" s="88">
        <f>324/A56</f>
        <v/>
      </c>
      <c r="C56" s="89">
        <f>100/B56</f>
        <v/>
      </c>
    </row>
    <row r="57" ht="28" customHeight="1">
      <c r="A57" s="17" t="inlineStr">
        <is>
          <t>Coverage is exact arithmetic. Strength, reinforcement, base and frost depth are soil and code questions - this sheet does quantities, not design.</t>
        </is>
      </c>
    </row>
  </sheetData>
  <mergeCells count="13">
    <mergeCell ref="A28:C28"/>
    <mergeCell ref="A47:F47"/>
    <mergeCell ref="A15:C15"/>
    <mergeCell ref="A46:F46"/>
    <mergeCell ref="A44:C44"/>
    <mergeCell ref="A1:C1"/>
    <mergeCell ref="A37:C37"/>
    <mergeCell ref="A17:C17"/>
    <mergeCell ref="A35:C35"/>
    <mergeCell ref="A4:C4"/>
    <mergeCell ref="A26:C26"/>
    <mergeCell ref="A2:C2"/>
    <mergeCell ref="A57:F57"/>
  </mergeCells>
  <printOptions horizontalCentered="1"/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2026-10-28T03:13:39+00:00Z</dcterms:modified>
</cp:coreProperties>
</file>