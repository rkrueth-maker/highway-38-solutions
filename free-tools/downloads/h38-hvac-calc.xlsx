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HVAC" sheetId="2" state="visible" r:id="rId2"/>
    <sheet xmlns:r="http://schemas.openxmlformats.org/officeDocument/2006/relationships" name="HVAC Reference" sheetId="3" state="visible" r:id="rId3"/>
    <sheet xmlns:r="http://schemas.openxmlformats.org/officeDocument/2006/relationships" name="HVAC Loads" sheetId="4" state="visible" r:id="rId4"/>
    <sheet xmlns:r="http://schemas.openxmlformats.org/officeDocument/2006/relationships" name="HVAC Quote" sheetId="5" state="visible" r:id="rId5"/>
  </sheets>
  <definedNames/>
  <calcPr calcId="124519" fullCalcOnLoad="1"/>
</workbook>
</file>

<file path=xl/styles.xml><?xml version="1.0" encoding="utf-8"?>
<styleSheet xmlns="http://schemas.openxmlformats.org/spreadsheetml/2006/main">
  <numFmts count="9">
    <numFmt numFmtId="164" formatCode="&quot;$&quot;#,##0.00"/>
    <numFmt numFmtId="165" formatCode="0.0%"/>
    <numFmt numFmtId="166" formatCode="#,##0.0"/>
    <numFmt numFmtId="167" formatCode="&quot;$&quot;#,##0.000"/>
    <numFmt numFmtId="168" formatCode="0.0000"/>
    <numFmt numFmtId="169" formatCode="0.000"/>
    <numFmt numFmtId="170" formatCode="0.0"/>
    <numFmt numFmtId="171" formatCode="&quot;$&quot;#,##0"/>
    <numFmt numFmtId="172" formatCode="#,##0.000"/>
  </numFmts>
  <fonts count="12">
    <font>
      <name val="Calibri"/>
      <family val="2"/>
      <color theme="1"/>
      <sz val="11"/>
      <scheme val="minor"/>
    </font>
    <font>
      <name val="Calibri"/>
      <b val="1"/>
      <color rgb="001B2A4E"/>
      <sz val="18"/>
    </font>
    <font>
      <name val="Calibri"/>
      <color rgb="00444444"/>
      <sz val="11"/>
    </font>
    <font>
      <name val="Calibri"/>
      <b val="1"/>
      <sz val="11"/>
    </font>
    <font>
      <name val="Calibri"/>
      <sz val="11"/>
    </font>
    <font>
      <name val="Calibri"/>
      <b val="1"/>
      <color rgb="001B2A4E"/>
      <sz val="11"/>
    </font>
    <font>
      <name val="Calibri"/>
      <b val="1"/>
      <color rgb="00FFFFFF"/>
      <sz val="14"/>
    </font>
    <font>
      <name val="Calibri"/>
      <b val="1"/>
      <color rgb="001B2A4E"/>
      <sz val="12"/>
    </font>
    <font>
      <name val="Calibri"/>
      <i val="1"/>
      <color rgb="00555555"/>
      <sz val="11"/>
    </font>
    <font>
      <name val="Calibri"/>
      <b val="1"/>
      <color rgb="00FFFFFF"/>
      <sz val="11"/>
    </font>
    <font>
      <name val="Calibri"/>
      <b val="1"/>
      <color rgb="00555555"/>
      <sz val="11"/>
    </font>
    <font>
      <name val="Calibri"/>
      <color rgb="00555555"/>
      <sz val="11"/>
    </font>
  </fonts>
  <fills count="5">
    <fill>
      <patternFill/>
    </fill>
    <fill>
      <patternFill patternType="gray125"/>
    </fill>
    <fill>
      <patternFill patternType="solid">
        <fgColor rgb="001B2A4E"/>
      </patternFill>
    </fill>
    <fill>
      <patternFill patternType="solid">
        <fgColor rgb="00C9A86A"/>
      </patternFill>
    </fill>
    <fill>
      <patternFill patternType="solid">
        <fgColor rgb="00FFF7D6"/>
      </patternFill>
    </fill>
  </fills>
  <borders count="8">
    <border>
      <left/>
      <right/>
      <top/>
      <bottom/>
      <diagonal/>
    </border>
    <border>
      <left style="thin">
        <color rgb="00B0B8C5"/>
      </left>
      <right style="thin">
        <color rgb="00B0B8C5"/>
      </right>
      <top style="thin">
        <color rgb="00B0B8C5"/>
      </top>
      <bottom style="thin">
        <color rgb="00B0B8C5"/>
      </bottom>
    </border>
    <border>
      <left/>
      <right/>
      <top style="thin">
        <color rgb="00B0B8C5"/>
      </top>
      <bottom/>
      <diagonal/>
    </border>
    <border>
      <left/>
      <right style="thin">
        <color rgb="00B0B8C5"/>
      </right>
      <top style="thin">
        <color rgb="00B0B8C5"/>
      </top>
      <bottom/>
      <diagonal/>
    </border>
    <border>
      <left/>
      <right/>
      <top style="thin">
        <color rgb="00B0B8C5"/>
      </top>
      <bottom style="thin">
        <color rgb="00B0B8C5"/>
      </bottom>
      <diagonal/>
    </border>
    <border>
      <left/>
      <right style="thin">
        <color rgb="00B0B8C5"/>
      </right>
      <top style="thin">
        <color rgb="00B0B8C5"/>
      </top>
      <bottom style="thin">
        <color rgb="00B0B8C5"/>
      </bottom>
      <diagonal/>
    </border>
    <border>
      <left style="thin"/>
      <right style="thin"/>
      <top style="thin"/>
      <bottom style="thin"/>
    </border>
    <border/>
  </borders>
  <cellStyleXfs count="1">
    <xf numFmtId="0" fontId="0" fillId="0" borderId="0"/>
  </cellStyleXfs>
  <cellXfs count="9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2" borderId="0" applyAlignment="1" pivotButton="0" quotePrefix="0" xfId="0">
      <alignment vertical="center"/>
    </xf>
    <xf numFmtId="0" fontId="2" fillId="0" borderId="0" applyAlignment="1" pivotButton="0" quotePrefix="0" xfId="0">
      <alignment vertical="top" wrapText="1"/>
    </xf>
    <xf numFmtId="0" fontId="7" fillId="3" borderId="0" applyAlignment="1" pivotButton="0" quotePrefix="0" xfId="0">
      <alignment vertical="center"/>
    </xf>
    <xf numFmtId="0" fontId="4" fillId="0" borderId="0" pivotButton="0" quotePrefix="0" xfId="0"/>
    <xf numFmtId="3" fontId="0" fillId="4" borderId="1" pivotButton="0" quotePrefix="0" xfId="0"/>
    <xf numFmtId="164" fontId="0" fillId="4" borderId="1" pivotButton="0" quotePrefix="0" xfId="0"/>
    <xf numFmtId="165" fontId="0" fillId="4" borderId="1" pivotButton="0" quotePrefix="0" xfId="0"/>
    <xf numFmtId="164" fontId="0" fillId="0" borderId="1" pivotButton="0" quotePrefix="0" xfId="0"/>
    <xf numFmtId="0" fontId="3" fillId="0" borderId="0" pivotButton="0" quotePrefix="0" xfId="0"/>
    <xf numFmtId="164" fontId="3" fillId="0" borderId="1" pivotButton="0" quotePrefix="0" xfId="0"/>
    <xf numFmtId="165" fontId="0" fillId="0" borderId="1" pivotButton="0" quotePrefix="0" xfId="0"/>
    <xf numFmtId="0" fontId="8" fillId="0" borderId="0" applyAlignment="1" pivotButton="0" quotePrefix="0" xfId="0">
      <alignment vertical="top" wrapText="1"/>
    </xf>
    <xf numFmtId="166" fontId="0" fillId="4" borderId="1" pivotButton="0" quotePrefix="0" xfId="0"/>
    <xf numFmtId="167" fontId="0" fillId="4" borderId="1" pivotButton="0" quotePrefix="0" xfId="0"/>
    <xf numFmtId="3" fontId="0" fillId="0" borderId="1" pivotButton="0" quotePrefix="0" xfId="0"/>
    <xf numFmtId="4" fontId="0" fillId="0" borderId="1" pivotButton="0" quotePrefix="0" xfId="0"/>
    <xf numFmtId="4" fontId="3" fillId="0" borderId="1" pivotButton="0" quotePrefix="0" xfId="0"/>
    <xf numFmtId="0" fontId="0" fillId="4" borderId="1" pivotButton="0" quotePrefix="0" xfId="0"/>
    <xf numFmtId="0" fontId="8" fillId="0" borderId="0" pivotButton="0" quotePrefix="0" xfId="0"/>
    <xf numFmtId="166" fontId="3" fillId="0" borderId="1" pivotButton="0" quotePrefix="0" xfId="0"/>
    <xf numFmtId="3" fontId="3" fillId="0" borderId="1" pivotButton="0" quotePrefix="0" xfId="0"/>
    <xf numFmtId="4" fontId="0" fillId="4" borderId="1" pivotButton="0" quotePrefix="0" xfId="0"/>
    <xf numFmtId="168" fontId="0" fillId="0" borderId="1" pivotButton="0" quotePrefix="0" xfId="0"/>
    <xf numFmtId="165" fontId="3" fillId="0" borderId="1" pivotButton="0" quotePrefix="0" xfId="0"/>
    <xf numFmtId="0" fontId="4" fillId="0" borderId="1" pivotButton="0" quotePrefix="0" xfId="0"/>
    <xf numFmtId="0" fontId="3" fillId="0" borderId="1" pivotButton="0" quotePrefix="0" xfId="0"/>
    <xf numFmtId="0" fontId="0" fillId="0" borderId="1" pivotButton="0" quotePrefix="0" xfId="0"/>
    <xf numFmtId="166" fontId="0" fillId="0" borderId="1" pivotButton="0" quotePrefix="0" xfId="0"/>
    <xf numFmtId="0" fontId="9" fillId="2" borderId="1" applyAlignment="1" pivotButton="0" quotePrefix="0" xfId="0">
      <alignment horizontal="center" vertical="center" wrapText="1"/>
    </xf>
    <xf numFmtId="0" fontId="7" fillId="3" borderId="0" pivotButton="0" quotePrefix="0" xfId="0"/>
    <xf numFmtId="3" fontId="4" fillId="4" borderId="6" pivotButton="0" quotePrefix="0" xfId="0"/>
    <xf numFmtId="0" fontId="4" fillId="4" borderId="6" pivotButton="0" quotePrefix="0" xfId="0"/>
    <xf numFmtId="4" fontId="4" fillId="0" borderId="6" pivotButton="0" quotePrefix="0" xfId="0"/>
    <xf numFmtId="3" fontId="4" fillId="0" borderId="6" pivotButton="0" quotePrefix="0" xfId="0"/>
    <xf numFmtId="4" fontId="3" fillId="0" borderId="6" pivotButton="0" quotePrefix="0" xfId="0"/>
    <xf numFmtId="165" fontId="3" fillId="0" borderId="6" pivotButton="0" quotePrefix="0" xfId="0"/>
    <xf numFmtId="0" fontId="10" fillId="0" borderId="0" applyAlignment="1" pivotButton="0" quotePrefix="0" xfId="0">
      <alignment vertical="top" wrapText="1"/>
    </xf>
    <xf numFmtId="0" fontId="11" fillId="0" borderId="0" applyAlignment="1" pivotButton="0" quotePrefix="0" xfId="0">
      <alignment vertical="top" wrapText="1"/>
    </xf>
    <xf numFmtId="0" fontId="4" fillId="0" borderId="6" pivotButton="0" quotePrefix="0" xfId="0"/>
    <xf numFmtId="4" fontId="4" fillId="4" borderId="6" pivotButton="0" quotePrefix="0" xfId="0"/>
    <xf numFmtId="3" fontId="3" fillId="0" borderId="6" pivotButton="0" quotePrefix="0" xfId="0"/>
    <xf numFmtId="0" fontId="3" fillId="0" borderId="6" pivotButton="0" quotePrefix="0" xfId="0"/>
    <xf numFmtId="169" fontId="4" fillId="0" borderId="6" pivotButton="0" quotePrefix="0" xfId="0"/>
    <xf numFmtId="168" fontId="4" fillId="0" borderId="6" pivotButton="0" quotePrefix="0" xfId="0"/>
    <xf numFmtId="170" fontId="3" fillId="0" borderId="6" pivotButton="0" quotePrefix="0" xfId="0"/>
    <xf numFmtId="164" fontId="4" fillId="4" borderId="6" pivotButton="0" quotePrefix="0" xfId="0"/>
    <xf numFmtId="164" fontId="3" fillId="0" borderId="6" pivotButton="0" quotePrefix="0" xfId="0"/>
    <xf numFmtId="0" fontId="0" fillId="0" borderId="4" pivotButton="0" quotePrefix="0" xfId="0"/>
    <xf numFmtId="0" fontId="0" fillId="0" borderId="5" pivotButton="0" quotePrefix="0" xfId="0"/>
    <xf numFmtId="0" fontId="4" fillId="0" borderId="0" applyAlignment="1" pivotButton="0" quotePrefix="0" xfId="0">
      <alignment wrapText="1"/>
    </xf>
    <xf numFmtId="0" fontId="6" fillId="2" borderId="0" pivotButton="0" quotePrefix="0" xfId="0"/>
    <xf numFmtId="0" fontId="2" fillId="0" borderId="0" applyAlignment="1" pivotButton="0" quotePrefix="0" xfId="0">
      <alignment wrapText="1"/>
    </xf>
    <xf numFmtId="9" fontId="4" fillId="0" borderId="0" pivotButton="0" quotePrefix="0" xfId="0"/>
    <xf numFmtId="171" fontId="4" fillId="0" borderId="0" pivotButton="0" quotePrefix="0" xfId="0"/>
    <xf numFmtId="165" fontId="4" fillId="0" borderId="0" pivotButton="0" quotePrefix="0" xfId="0"/>
    <xf numFmtId="0" fontId="8" fillId="0" borderId="0" applyAlignment="1" pivotButton="0" quotePrefix="0" xfId="0">
      <alignment wrapText="1"/>
    </xf>
    <xf numFmtId="170" fontId="4" fillId="0" borderId="0" pivotButton="0" quotePrefix="0" xfId="0"/>
    <xf numFmtId="3" fontId="4" fillId="0" borderId="0" pivotButton="0" quotePrefix="0" xfId="0"/>
    <xf numFmtId="2" fontId="4" fillId="0" borderId="0" pivotButton="0" quotePrefix="0" xfId="0"/>
    <xf numFmtId="168" fontId="4" fillId="0" borderId="0" pivotButton="0" quotePrefix="0" xfId="0"/>
    <xf numFmtId="1" fontId="4" fillId="0" borderId="0" pivotButton="0" quotePrefix="0" xfId="0"/>
    <xf numFmtId="169" fontId="4" fillId="0" borderId="0" pivotButton="0" quotePrefix="0" xfId="0"/>
    <xf numFmtId="10" fontId="4" fillId="4" borderId="6" pivotButton="0" quotePrefix="0" xfId="0"/>
    <xf numFmtId="0" fontId="11" fillId="0" borderId="0" pivotButton="0" quotePrefix="0" xfId="0"/>
    <xf numFmtId="165" fontId="4" fillId="4" borderId="6" pivotButton="0" quotePrefix="0" xfId="0"/>
    <xf numFmtId="164" fontId="4" fillId="0" borderId="6" pivotButton="0" quotePrefix="0" xfId="0"/>
    <xf numFmtId="165" fontId="4" fillId="0" borderId="6" pivotButton="0" quotePrefix="0" xfId="0"/>
    <xf numFmtId="166" fontId="4" fillId="4" borderId="6" pivotButton="0" quotePrefix="0" xfId="0"/>
    <xf numFmtId="10" fontId="4" fillId="0" borderId="6" pivotButton="0" quotePrefix="0" xfId="0"/>
    <xf numFmtId="166" fontId="4" fillId="0" borderId="6" pivotButton="0" quotePrefix="0" xfId="0"/>
    <xf numFmtId="166" fontId="0" fillId="0" borderId="6" pivotButton="0" quotePrefix="0" xfId="0"/>
    <xf numFmtId="165" fontId="0" fillId="0" borderId="6" pivotButton="0" quotePrefix="0" xfId="0"/>
    <xf numFmtId="166" fontId="3" fillId="0" borderId="6" pivotButton="0" quotePrefix="0" xfId="0"/>
    <xf numFmtId="3" fontId="0" fillId="0" borderId="6" pivotButton="0" quotePrefix="0" xfId="0"/>
    <xf numFmtId="168" fontId="0" fillId="0" borderId="6" pivotButton="0" quotePrefix="0" xfId="0"/>
    <xf numFmtId="4" fontId="0" fillId="0" borderId="6" pivotButton="0" quotePrefix="0" xfId="0"/>
    <xf numFmtId="0" fontId="7" fillId="3" borderId="7" pivotButton="0" quotePrefix="0" xfId="0"/>
    <xf numFmtId="0" fontId="3" fillId="0" borderId="7" pivotButton="0" quotePrefix="0" xfId="0"/>
    <xf numFmtId="0" fontId="4" fillId="0" borderId="7" pivotButton="0" quotePrefix="0" xfId="0"/>
    <xf numFmtId="0" fontId="11" fillId="0" borderId="7" applyAlignment="1" pivotButton="0" quotePrefix="0" xfId="0">
      <alignment vertical="top" wrapText="1"/>
    </xf>
    <xf numFmtId="172" fontId="0" fillId="0" borderId="1" pivotButton="0" quotePrefix="0" xfId="0"/>
    <xf numFmtId="172" fontId="4" fillId="0" borderId="1" pivotButton="0" quotePrefix="0" xfId="0"/>
    <xf numFmtId="166" fontId="4" fillId="0" borderId="1" pivotButton="0" quotePrefix="0" xfId="0"/>
    <xf numFmtId="4"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3</col>
      <colOff>0</colOff>
      <row>0</row>
      <rowOff>0</rowOff>
    </from>
    <ext cx="1809750" cy="1809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7</col>
      <colOff>0</colOff>
      <row>0</row>
      <rowOff>0</rowOff>
    </from>
    <ext cx="1143000" cy="1143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8</col>
      <colOff>0</colOff>
      <row>0</row>
      <rowOff>0</rowOff>
    </from>
    <ext cx="1371600" cy="1371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fitToPage="1"/>
  </sheetPr>
  <dimension ref="A1:B40"/>
  <sheetViews>
    <sheetView workbookViewId="0">
      <selection activeCell="A1" sqref="A1"/>
    </sheetView>
  </sheetViews>
  <sheetFormatPr baseColWidth="8" defaultRowHeight="15"/>
  <cols>
    <col width="28" customWidth="1" min="1" max="1"/>
    <col width="95" customWidth="1" min="2" max="2"/>
  </cols>
  <sheetData>
    <row r="1">
      <c r="A1" s="1" t="inlineStr">
        <is>
          <t>H38 HVAC CALC</t>
        </is>
      </c>
    </row>
    <row r="2">
      <c r="A2" s="2" t="inlineStr">
        <is>
          <t>By Highway 38 Solutions  -  The HVAC sheets from the H38 Contractor Calc, in one workbook - calculators, reference tables, load tools and a quoting sheet</t>
        </is>
      </c>
    </row>
    <row r="3"/>
    <row r="4" ht="42" customHeight="1">
      <c r="A4" s="3" t="inlineStr">
        <is>
          <t>What this is</t>
        </is>
      </c>
      <c r="B4" s="4" t="inlineStr">
        <is>
          <t>The HVAC calculators from the free H38 Contractor Calc web app, as a workbook you keep. The HVAC sheet with the trade tools, its reference sheet, the load, charge and ventilation tools, and a quoting sheet built on the same bid math as the app.</t>
        </is>
      </c>
    </row>
    <row r="5" ht="60" customHeight="1">
      <c r="A5" s="3" t="inlineStr">
        <is>
          <t>Start in this order</t>
        </is>
      </c>
      <c r="B5" s="4" t="inlineStr">
        <is>
          <t>1) HVAC - duct CFM sizing, tonnage sizing, SEER savings, and the round-duct CFM chart.  2) HVAC Reference - refrigerant pressure-temperature charts, duct equivalents and filter sizes.  3) HVAC Loads - the load estimate, charge by weight, ventilation rates and the AFUE comparison.  4) HVAC Quote - price the whole job on lines like the ones you actually write up.</t>
        </is>
      </c>
    </row>
    <row r="6" ht="42" customHeight="1">
      <c r="A6" s="3" t="inlineStr">
        <is>
          <t>Yellow cells</t>
        </is>
      </c>
      <c r="B6" s="4" t="inlineStr">
        <is>
          <t>Yellow = you type here. White / grey cells are formulas - don't type over them, or that calculation will stop working. Percent cells: type them as percents (20%), not decimals.</t>
        </is>
      </c>
    </row>
    <row r="7" ht="42" customHeight="1">
      <c r="A7" s="3" t="inlineStr">
        <is>
          <t>Example data</t>
        </is>
      </c>
      <c r="B7" s="4" t="inlineStr">
        <is>
          <t>Every calculator opens with the same example numbers as the web app, so the two match side by side. Replace them with your shop's real numbers before quoting a customer.</t>
        </is>
      </c>
    </row>
    <row r="8" ht="42" customHeight="1">
      <c r="A8" s="3" t="inlineStr">
        <is>
          <t>Trade specials</t>
        </is>
      </c>
      <c r="B8" s="4" t="inlineStr">
        <is>
          <t>HVAC: duct CFM sizing, tonnage sizing, SEER savings, and the round-duct CFM chart.</t>
        </is>
      </c>
    </row>
    <row r="9" ht="42" customHeight="1">
      <c r="A9" s="3" t="inlineStr">
        <is>
          <t>Estimates only</t>
        </is>
      </c>
      <c r="B9" s="4" t="inlineStr">
        <is>
          <t>Results are estimates for planning and quoting conversations - verify load calculations, code requirements, and tax figures against the governing standard (Manual J, the NEC, IRS publications) and your own books before you build, bid, or file on them.</t>
        </is>
      </c>
    </row>
    <row r="10"/>
    <row r="11">
      <c r="A11" s="5" t="inlineStr">
        <is>
          <t>Sheets:  HVAC  -  HVAC Reference  -  HVAC Loads  -  HVAC Quote</t>
        </is>
      </c>
    </row>
    <row r="12"/>
    <row r="13">
      <c r="A13" s="14" t="inlineStr">
        <is>
          <t>QUICK REFERENCE SHEETS</t>
        </is>
      </c>
    </row>
    <row r="14" ht="60" customHeight="1">
      <c r="A14" s="14" t="inlineStr">
        <is>
          <t>HVAC Reference</t>
        </is>
      </c>
      <c r="B14" s="55" t="inlineStr">
        <is>
          <t>Refrigerant pressure-temperature chart for R-410A and R-22 plus R-454B service anchors, rectangular-to-round duct equivalents with CFM, flex-duct guidance, common filter sizes and charging rules of thumb.</t>
        </is>
      </c>
    </row>
    <row r="15" ht="60" customHeight="1">
      <c r="A15" s="14" t="inlineStr">
        <is>
          <t>Reference sources</t>
        </is>
      </c>
      <c r="B15" s="55" t="inlineStr">
        <is>
          <t>Tables come from the standards the trades work to: the ASHRAE duct-equivalent equation; manufacturer refrigerant charts. Local amendments and equipment nameplates win over any quick table.</t>
        </is>
      </c>
    </row>
    <row r="16"/>
    <row r="17">
      <c r="A17" s="14" t="inlineStr">
        <is>
          <t>MORE CALCULATORS</t>
        </is>
      </c>
    </row>
    <row r="18">
      <c r="A18" s="14" t="inlineStr">
        <is>
          <t>HVAC Loads</t>
        </is>
      </c>
      <c r="B18" s="9" t="inlineStr">
        <is>
          <t>A simplified heating and cooling load estimate (labeled estimate-only - not a Manual J), refrigerant charge-by-weight, ASHRAE 62.2 ventilation rates, and an AFUE savings comparison.</t>
        </is>
      </c>
    </row>
    <row r="19">
      <c r="A19" s="14" t="inlineStr">
        <is>
          <t>New-sheet sources</t>
        </is>
      </c>
      <c r="B19" s="9" t="inlineStr">
        <is>
          <t>ASHRAE 62.2. Code tables transcribed from the published standards - your adopted edition and local amendments govern.</t>
        </is>
      </c>
    </row>
    <row r="20"/>
    <row r="21">
      <c r="A21" s="3" t="inlineStr">
        <is>
          <t>More charts</t>
        </is>
      </c>
      <c r="B21" s="9" t="inlineStr">
        <is>
          <t>New quick-reference charts: on HVAC Reference the R-454B anchor table is now the full bubble-and-dew PT chart, plus typical refrigerant line sizes by tonnage.</t>
        </is>
      </c>
    </row>
    <row r="22"/>
    <row r="23"/>
    <row r="24"/>
    <row r="25"/>
    <row r="26"/>
    <row r="27"/>
    <row r="28"/>
    <row r="29"/>
    <row r="30"/>
    <row r="31"/>
    <row r="32"/>
    <row r="33"/>
    <row r="34"/>
    <row r="35"/>
    <row r="36"/>
    <row r="37"/>
    <row r="38"/>
    <row r="39"/>
    <row r="40"/>
  </sheetData>
  <mergeCells count="3">
    <mergeCell ref="A11:B11"/>
    <mergeCell ref="A2:B2"/>
    <mergeCell ref="A1:B1"/>
  </mergeCells>
  <printOptions horizontalCentered="1"/>
  <pageMargins left="0.75" right="0.75" top="1" bottom="1" header="0.5" footer="0.5"/>
  <pageSetup orientation="portrait" fitToHeight="1" fitToWidth="1"/>
  <headerFooter>
    <oddHeader>&amp;C&amp;11 Highway 38 Solutions</oddHeader>
    <oddFooter/>
    <evenHeader>&amp;C&amp;11 Highway 38 Solutions</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F73"/>
  <sheetViews>
    <sheetView workbookViewId="0">
      <selection activeCell="A1" sqref="A1"/>
    </sheetView>
  </sheetViews>
  <sheetFormatPr baseColWidth="8" defaultRowHeight="15"/>
  <cols>
    <col width="42" customWidth="1" min="1" max="1"/>
    <col width="18" customWidth="1" min="2" max="2"/>
    <col width="62" customWidth="1" min="3" max="3"/>
    <col width="15" customWidth="1" min="4" max="4"/>
    <col width="15" customWidth="1" min="5" max="5"/>
    <col width="15" customWidth="1" min="6" max="6"/>
  </cols>
  <sheetData>
    <row r="1" ht="24" customHeight="1">
      <c r="A1" s="6" t="inlineStr">
        <is>
          <t>HVAC - Duct CFM, tonnage sizing, SEER savings &amp; duct chart</t>
        </is>
      </c>
    </row>
    <row r="2">
      <c r="A2" s="7" t="inlineStr">
        <is>
          <t>The trade tools: the CFM a room needs and the duct that carries it, rule-of-thumb tonnage, and what a higher-SEER unit saves. The shared business kit is on the Standard sheet, same as the app shows it on every tab.</t>
        </is>
      </c>
    </row>
    <row r="4" ht="20" customHeight="1">
      <c r="A4" s="8" t="inlineStr">
        <is>
          <t>DUCT SIZING - CFM for a room</t>
        </is>
      </c>
    </row>
    <row r="5">
      <c r="A5" s="9" t="inlineStr">
        <is>
          <t>Room</t>
        </is>
      </c>
      <c r="B5" s="23" t="inlineStr">
        <is>
          <t>Living / family room</t>
        </is>
      </c>
      <c r="C5" s="24" t="inlineStr">
        <is>
          <t>Pick from the dropdown - air changes per hour from the table below</t>
        </is>
      </c>
    </row>
    <row r="6">
      <c r="A6" s="9" t="inlineStr">
        <is>
          <t>Floor area (sq ft)</t>
        </is>
      </c>
      <c r="B6" s="10" t="n">
        <v>200</v>
      </c>
    </row>
    <row r="7">
      <c r="A7" s="9" t="inlineStr">
        <is>
          <t>Ceiling height (ft)</t>
        </is>
      </c>
      <c r="B7" s="18" t="n">
        <v>8</v>
      </c>
    </row>
    <row r="8">
      <c r="A8" s="9" t="inlineStr">
        <is>
          <t>Duct velocity</t>
        </is>
      </c>
      <c r="B8" s="23" t="inlineStr">
        <is>
          <t>600 fpm - typical supply</t>
        </is>
      </c>
      <c r="C8" s="24" t="inlineStr">
        <is>
          <t>Pick from the dropdown - values from the table below</t>
        </is>
      </c>
    </row>
    <row r="9">
      <c r="A9" s="9" t="inlineStr">
        <is>
          <t>Air changes per hour (from table)</t>
        </is>
      </c>
      <c r="B9" s="20">
        <f>VLOOKUP(B5,$A$18:$B$21,2,FALSE)</f>
        <v/>
      </c>
    </row>
    <row r="10">
      <c r="A10" s="9" t="inlineStr">
        <is>
          <t>Velocity used (fpm)</t>
        </is>
      </c>
      <c r="B10" s="20">
        <f>VLOOKUP(B8,$A$24:$B$27,2,FALSE)</f>
        <v/>
      </c>
    </row>
    <row r="11">
      <c r="A11" s="14" t="inlineStr">
        <is>
          <t>AIRFLOW NEEDED (CFM)</t>
        </is>
      </c>
      <c r="B11" s="26">
        <f>B6*B7*B9/60</f>
        <v/>
      </c>
    </row>
    <row r="12">
      <c r="A12" s="9" t="inlineStr">
        <is>
          <t>Duct area at that velocity (sq in)</t>
        </is>
      </c>
      <c r="B12" s="33">
        <f>IF(B10&gt;0,B11/B10*144,0)</f>
        <v/>
      </c>
    </row>
    <row r="13">
      <c r="A13" s="9" t="inlineStr">
        <is>
          <t>Round duct diameter (in)</t>
        </is>
      </c>
      <c r="B13" s="33">
        <f>SQRT(4*B12/PI())</f>
        <v/>
      </c>
    </row>
    <row r="14">
      <c r="A14" s="9" t="inlineStr">
        <is>
          <t>Round up to (in round duct)</t>
        </is>
      </c>
      <c r="B14" s="20">
        <f>CEILING(B13,1)</f>
        <v/>
      </c>
    </row>
    <row r="16" ht="28" customHeight="1">
      <c r="A16" s="17" t="inlineStr">
        <is>
          <t>Rule-of-thumb supply sizing by air changes - sanity-check it against the system total: about 400 CFM per ton. Final duct design follows Manual D; an undersized return is the callback this prevents.</t>
        </is>
      </c>
    </row>
    <row r="17">
      <c r="A17" s="14" t="inlineStr">
        <is>
          <t>Reference - air changes per hour by room</t>
        </is>
      </c>
    </row>
    <row r="18">
      <c r="A18" s="30" t="inlineStr">
        <is>
          <t>Living / family room</t>
        </is>
      </c>
      <c r="B18" s="30" t="n">
        <v>6</v>
      </c>
    </row>
    <row r="19">
      <c r="A19" s="30" t="inlineStr">
        <is>
          <t>Bedroom</t>
        </is>
      </c>
      <c r="B19" s="30" t="n">
        <v>5</v>
      </c>
    </row>
    <row r="20">
      <c r="A20" s="30" t="inlineStr">
        <is>
          <t>Kitchen</t>
        </is>
      </c>
      <c r="B20" s="30" t="n">
        <v>8</v>
      </c>
    </row>
    <row r="21">
      <c r="A21" s="30" t="inlineStr">
        <is>
          <t>Bathroom</t>
        </is>
      </c>
      <c r="B21" s="30" t="n">
        <v>8</v>
      </c>
    </row>
    <row r="23">
      <c r="A23" s="14" t="inlineStr">
        <is>
          <t>Reference - duct velocities (fpm)</t>
        </is>
      </c>
    </row>
    <row r="24">
      <c r="A24" s="30" t="inlineStr">
        <is>
          <t>500 fpm - quiet (bedrooms)</t>
        </is>
      </c>
      <c r="B24" s="30" t="n">
        <v>500</v>
      </c>
    </row>
    <row r="25">
      <c r="A25" s="30" t="inlineStr">
        <is>
          <t>600 fpm - typical supply</t>
        </is>
      </c>
      <c r="B25" s="30" t="n">
        <v>600</v>
      </c>
    </row>
    <row r="26">
      <c r="A26" s="30" t="inlineStr">
        <is>
          <t>700 fpm</t>
        </is>
      </c>
      <c r="B26" s="30" t="n">
        <v>700</v>
      </c>
    </row>
    <row r="27">
      <c r="A27" s="30" t="inlineStr">
        <is>
          <t>900 fpm - trunk / max flex</t>
        </is>
      </c>
      <c r="B27" s="30" t="n">
        <v>900</v>
      </c>
    </row>
    <row r="30" ht="20" customHeight="1">
      <c r="A30" s="35" t="inlineStr">
        <is>
          <t>TONNAGE SIZING - rule-of-thumb cooling size</t>
        </is>
      </c>
    </row>
    <row r="31">
      <c r="A31" s="9" t="inlineStr">
        <is>
          <t>Floor area (sq ft)</t>
        </is>
      </c>
      <c r="B31" s="36" t="n">
        <v>1800</v>
      </c>
    </row>
    <row r="32">
      <c r="A32" s="9" t="inlineStr">
        <is>
          <t>Load factor</t>
        </is>
      </c>
      <c r="B32" s="37" t="inlineStr">
        <is>
          <t>25 - average home</t>
        </is>
      </c>
      <c r="C32" s="9" t="inlineStr">
        <is>
          <t>Pick from the dropdown - BTU per sq ft, table below</t>
        </is>
      </c>
    </row>
    <row r="33">
      <c r="A33" s="9" t="inlineStr">
        <is>
          <t>Load factor used (BTU per sq ft)</t>
        </is>
      </c>
      <c r="B33" s="39">
        <f>VLOOKUP(B32,$A$40:$B$43,2,FALSE)</f>
        <v/>
      </c>
    </row>
    <row r="34">
      <c r="A34" s="14" t="inlineStr">
        <is>
          <t>COOLING LOAD (BTU/h)</t>
        </is>
      </c>
      <c r="B34" s="46">
        <f>B31*B33</f>
        <v/>
      </c>
    </row>
    <row r="35">
      <c r="A35" s="9" t="inlineStr">
        <is>
          <t>Exact tons</t>
        </is>
      </c>
      <c r="B35" s="38">
        <f>B34/12000</f>
        <v/>
      </c>
    </row>
    <row r="36">
      <c r="A36" s="14" t="inlineStr">
        <is>
          <t>EQUIPMENT SIZE (tons)</t>
        </is>
      </c>
      <c r="B36" s="50">
        <f>CEILING(B35,0.5)</f>
        <v/>
      </c>
    </row>
    <row r="38" ht="28" customHeight="1">
      <c r="A38" s="43" t="inlineStr">
        <is>
          <t>Rule of thumb for a first conversation and a sanity check - a Manual J load calculation is the number you install on. Oversizing is the quiet callback: short cycles, clammy air, dead compressors.</t>
        </is>
      </c>
    </row>
    <row r="39">
      <c r="A39" s="14" t="inlineStr">
        <is>
          <t>Reference - load factors (BTU per sq ft)</t>
        </is>
      </c>
    </row>
    <row r="40">
      <c r="A40" s="44" t="inlineStr">
        <is>
          <t>20 - mild / tight newer home</t>
        </is>
      </c>
      <c r="B40" s="39" t="n">
        <v>20</v>
      </c>
    </row>
    <row r="41">
      <c r="A41" s="44" t="inlineStr">
        <is>
          <t>25 - average home</t>
        </is>
      </c>
      <c r="B41" s="39" t="n">
        <v>25</v>
      </c>
    </row>
    <row r="42">
      <c r="A42" s="44" t="inlineStr">
        <is>
          <t>30 - hot / older leaky home</t>
        </is>
      </c>
      <c r="B42" s="39" t="n">
        <v>30</v>
      </c>
    </row>
    <row r="43">
      <c r="A43" s="44" t="inlineStr">
        <is>
          <t>35 - very hot / poor insulation</t>
        </is>
      </c>
      <c r="B43" s="39" t="n">
        <v>35</v>
      </c>
    </row>
    <row r="45" ht="20" customHeight="1">
      <c r="A45" s="35" t="inlineStr">
        <is>
          <t>SEER SAVINGS - what a higher-SEER unit saves each season</t>
        </is>
      </c>
    </row>
    <row r="46">
      <c r="A46" s="9" t="inlineStr">
        <is>
          <t>System size (tons)</t>
        </is>
      </c>
      <c r="B46" s="36" t="n">
        <v>3</v>
      </c>
    </row>
    <row r="47">
      <c r="A47" s="9" t="inlineStr">
        <is>
          <t>Current SEER</t>
        </is>
      </c>
      <c r="B47" s="36" t="n">
        <v>10</v>
      </c>
    </row>
    <row r="48">
      <c r="A48" s="9" t="inlineStr">
        <is>
          <t>New SEER</t>
        </is>
      </c>
      <c r="B48" s="36" t="n">
        <v>16</v>
      </c>
    </row>
    <row r="49">
      <c r="A49" s="9" t="inlineStr">
        <is>
          <t>Cooling run hours per season</t>
        </is>
      </c>
      <c r="B49" s="36" t="n">
        <v>1000</v>
      </c>
    </row>
    <row r="50">
      <c r="A50" s="9" t="inlineStr">
        <is>
          <t>Electricity rate ($/kWh)</t>
        </is>
      </c>
      <c r="B50" s="51" t="n">
        <v>0.15</v>
      </c>
    </row>
    <row r="51">
      <c r="A51" s="9" t="inlineStr">
        <is>
          <t>Seasonal cooling delivered (BTU)</t>
        </is>
      </c>
      <c r="B51" s="39">
        <f>B46*12000*B49</f>
        <v/>
      </c>
    </row>
    <row r="52">
      <c r="A52" s="9" t="inlineStr">
        <is>
          <t>Old unit electricity (kWh)</t>
        </is>
      </c>
      <c r="B52" s="39">
        <f>IF(B47&gt;0,B51/(B47*1000),0)</f>
        <v/>
      </c>
    </row>
    <row r="53">
      <c r="A53" s="9" t="inlineStr">
        <is>
          <t>New unit electricity (kWh)</t>
        </is>
      </c>
      <c r="B53" s="39">
        <f>IF(B48&gt;0,B51/(B48*1000),0)</f>
        <v/>
      </c>
    </row>
    <row r="54">
      <c r="A54" s="9" t="inlineStr">
        <is>
          <t>Electricity saved (kWh)</t>
        </is>
      </c>
      <c r="B54" s="39">
        <f>B52-B53</f>
        <v/>
      </c>
    </row>
    <row r="55">
      <c r="A55" s="14" t="inlineStr">
        <is>
          <t>COOLING ENERGY CUT</t>
        </is>
      </c>
      <c r="B55" s="41">
        <f>IF(B52&gt;0,B54/B52,0)</f>
        <v/>
      </c>
    </row>
    <row r="56">
      <c r="A56" s="14" t="inlineStr">
        <is>
          <t>MONEY SAVED PER SEASON</t>
        </is>
      </c>
      <c r="B56" s="52">
        <f>B54*B50</f>
        <v/>
      </c>
    </row>
    <row r="57" ht="28" customHeight="1">
      <c r="A57" s="43" t="inlineStr">
        <is>
          <t>SEER is seasonal BTU of cooling per watt-hour in. The percentage cut is just 1 minus old SEER over new SEER - it does not care about house size; the dollars do. Run hours are the honest swing factor: a Minnesota season is not a Phoenix season.</t>
        </is>
      </c>
    </row>
    <row r="59" ht="20" customHeight="1">
      <c r="A59" s="35" t="inlineStr">
        <is>
          <t>LOOKUP - ROUND DUCT CFM BY SIZE &amp; VELOCITY</t>
        </is>
      </c>
    </row>
    <row r="60" ht="28" customHeight="1">
      <c r="A60" s="43" t="inlineStr">
        <is>
          <t>CFM = duct area × air velocity. Read across: the same 6-inch duct that carries about 118 CFM at a quiet 600 fpm only moves 98 CFM at 500 fpm - velocity is the lever when a room runs hot or cold.</t>
        </is>
      </c>
    </row>
    <row r="61">
      <c r="A61" s="47" t="inlineStr">
        <is>
          <t>Round duct (in)</t>
        </is>
      </c>
      <c r="B61" s="47" t="inlineStr">
        <is>
          <t>Area (sq in)</t>
        </is>
      </c>
      <c r="C61" s="47" t="inlineStr">
        <is>
          <t>CFM @ 500 fpm</t>
        </is>
      </c>
      <c r="D61" s="47" t="inlineStr">
        <is>
          <t>CFM @ 600 fpm</t>
        </is>
      </c>
      <c r="E61" s="47" t="inlineStr">
        <is>
          <t>CFM @ 700 fpm</t>
        </is>
      </c>
      <c r="F61" s="47" t="inlineStr">
        <is>
          <t>CFM @ 900 fpm</t>
        </is>
      </c>
    </row>
    <row r="62">
      <c r="A62" s="39" t="n">
        <v>4</v>
      </c>
      <c r="B62" s="38">
        <f>PI()*A62^2/4</f>
        <v/>
      </c>
      <c r="C62" s="39">
        <f>$B62/144*500</f>
        <v/>
      </c>
      <c r="D62" s="39">
        <f>$B62/144*600</f>
        <v/>
      </c>
      <c r="E62" s="39">
        <f>$B62/144*700</f>
        <v/>
      </c>
      <c r="F62" s="39">
        <f>$B62/144*900</f>
        <v/>
      </c>
    </row>
    <row r="63">
      <c r="A63" s="39" t="n">
        <v>5</v>
      </c>
      <c r="B63" s="38">
        <f>PI()*A63^2/4</f>
        <v/>
      </c>
      <c r="C63" s="39">
        <f>$B63/144*500</f>
        <v/>
      </c>
      <c r="D63" s="39">
        <f>$B63/144*600</f>
        <v/>
      </c>
      <c r="E63" s="39">
        <f>$B63/144*700</f>
        <v/>
      </c>
      <c r="F63" s="39">
        <f>$B63/144*900</f>
        <v/>
      </c>
    </row>
    <row r="64">
      <c r="A64" s="39" t="n">
        <v>6</v>
      </c>
      <c r="B64" s="38">
        <f>PI()*A64^2/4</f>
        <v/>
      </c>
      <c r="C64" s="39">
        <f>$B64/144*500</f>
        <v/>
      </c>
      <c r="D64" s="39">
        <f>$B64/144*600</f>
        <v/>
      </c>
      <c r="E64" s="39">
        <f>$B64/144*700</f>
        <v/>
      </c>
      <c r="F64" s="39">
        <f>$B64/144*900</f>
        <v/>
      </c>
    </row>
    <row r="65">
      <c r="A65" s="39" t="n">
        <v>7</v>
      </c>
      <c r="B65" s="38">
        <f>PI()*A65^2/4</f>
        <v/>
      </c>
      <c r="C65" s="39">
        <f>$B65/144*500</f>
        <v/>
      </c>
      <c r="D65" s="39">
        <f>$B65/144*600</f>
        <v/>
      </c>
      <c r="E65" s="39">
        <f>$B65/144*700</f>
        <v/>
      </c>
      <c r="F65" s="39">
        <f>$B65/144*900</f>
        <v/>
      </c>
    </row>
    <row r="66">
      <c r="A66" s="39" t="n">
        <v>8</v>
      </c>
      <c r="B66" s="38">
        <f>PI()*A66^2/4</f>
        <v/>
      </c>
      <c r="C66" s="39">
        <f>$B66/144*500</f>
        <v/>
      </c>
      <c r="D66" s="39">
        <f>$B66/144*600</f>
        <v/>
      </c>
      <c r="E66" s="39">
        <f>$B66/144*700</f>
        <v/>
      </c>
      <c r="F66" s="39">
        <f>$B66/144*900</f>
        <v/>
      </c>
    </row>
    <row r="67">
      <c r="A67" s="39" t="n">
        <v>9</v>
      </c>
      <c r="B67" s="38">
        <f>PI()*A67^2/4</f>
        <v/>
      </c>
      <c r="C67" s="39">
        <f>$B67/144*500</f>
        <v/>
      </c>
      <c r="D67" s="39">
        <f>$B67/144*600</f>
        <v/>
      </c>
      <c r="E67" s="39">
        <f>$B67/144*700</f>
        <v/>
      </c>
      <c r="F67" s="39">
        <f>$B67/144*900</f>
        <v/>
      </c>
    </row>
    <row r="68">
      <c r="A68" s="39" t="n">
        <v>10</v>
      </c>
      <c r="B68" s="38">
        <f>PI()*A68^2/4</f>
        <v/>
      </c>
      <c r="C68" s="39">
        <f>$B68/144*500</f>
        <v/>
      </c>
      <c r="D68" s="39">
        <f>$B68/144*600</f>
        <v/>
      </c>
      <c r="E68" s="39">
        <f>$B68/144*700</f>
        <v/>
      </c>
      <c r="F68" s="39">
        <f>$B68/144*900</f>
        <v/>
      </c>
    </row>
    <row r="69">
      <c r="A69" s="39" t="n">
        <v>12</v>
      </c>
      <c r="B69" s="38">
        <f>PI()*A69^2/4</f>
        <v/>
      </c>
      <c r="C69" s="39">
        <f>$B69/144*500</f>
        <v/>
      </c>
      <c r="D69" s="39">
        <f>$B69/144*600</f>
        <v/>
      </c>
      <c r="E69" s="39">
        <f>$B69/144*700</f>
        <v/>
      </c>
      <c r="F69" s="39">
        <f>$B69/144*900</f>
        <v/>
      </c>
    </row>
    <row r="70">
      <c r="A70" s="39" t="n">
        <v>14</v>
      </c>
      <c r="B70" s="38">
        <f>PI()*A70^2/4</f>
        <v/>
      </c>
      <c r="C70" s="39">
        <f>$B70/144*500</f>
        <v/>
      </c>
      <c r="D70" s="39">
        <f>$B70/144*600</f>
        <v/>
      </c>
      <c r="E70" s="39">
        <f>$B70/144*700</f>
        <v/>
      </c>
      <c r="F70" s="39">
        <f>$B70/144*900</f>
        <v/>
      </c>
    </row>
    <row r="71">
      <c r="A71" s="39" t="n">
        <v>16</v>
      </c>
      <c r="B71" s="38">
        <f>PI()*A71^2/4</f>
        <v/>
      </c>
      <c r="C71" s="39">
        <f>$B71/144*500</f>
        <v/>
      </c>
      <c r="D71" s="39">
        <f>$B71/144*600</f>
        <v/>
      </c>
      <c r="E71" s="39">
        <f>$B71/144*700</f>
        <v/>
      </c>
      <c r="F71" s="39">
        <f>$B71/144*900</f>
        <v/>
      </c>
    </row>
    <row r="72">
      <c r="A72" s="39" t="n">
        <v>18</v>
      </c>
      <c r="B72" s="38">
        <f>PI()*A72^2/4</f>
        <v/>
      </c>
      <c r="C72" s="39">
        <f>$B72/144*500</f>
        <v/>
      </c>
      <c r="D72" s="39">
        <f>$B72/144*600</f>
        <v/>
      </c>
      <c r="E72" s="39">
        <f>$B72/144*700</f>
        <v/>
      </c>
      <c r="F72" s="39">
        <f>$B72/144*900</f>
        <v/>
      </c>
    </row>
    <row r="73">
      <c r="A73" s="39" t="n">
        <v>20</v>
      </c>
      <c r="B73" s="38">
        <f>PI()*A73^2/4</f>
        <v/>
      </c>
      <c r="C73" s="39">
        <f>$B73/144*500</f>
        <v/>
      </c>
      <c r="D73" s="39">
        <f>$B73/144*600</f>
        <v/>
      </c>
      <c r="E73" s="39">
        <f>$B73/144*700</f>
        <v/>
      </c>
      <c r="F73" s="39">
        <f>$B73/144*900</f>
        <v/>
      </c>
    </row>
  </sheetData>
  <mergeCells count="11">
    <mergeCell ref="A60:F60"/>
    <mergeCell ref="A1:C1"/>
    <mergeCell ref="A45:C45"/>
    <mergeCell ref="A16:C16"/>
    <mergeCell ref="A30:C30"/>
    <mergeCell ref="A39:C39"/>
    <mergeCell ref="A59:F59"/>
    <mergeCell ref="A4:C4"/>
    <mergeCell ref="A57:C57"/>
    <mergeCell ref="A38:C38"/>
    <mergeCell ref="A2:C2"/>
  </mergeCells>
  <dataValidations count="3">
    <dataValidation sqref="B5" showDropDown="0" showInputMessage="0" showErrorMessage="0" allowBlank="0" type="list">
      <formula1>"Living / family room,Bedroom,Kitchen,Bathroom"</formula1>
    </dataValidation>
    <dataValidation sqref="B8" showDropDown="0" showInputMessage="0" showErrorMessage="0" allowBlank="0" type="list">
      <formula1>"500 fpm - quiet (bedrooms),600 fpm - typical supply,700 fpm,900 fpm - trunk / max flex"</formula1>
    </dataValidation>
    <dataValidation sqref="B32" showDropDown="0" showInputMessage="0" showErrorMessage="0" allowBlank="0" error="Pick from the list" prompt="Pick from the dropdown" type="list">
      <formula1>"20 - mild / tight newer home,25 - average home,30 - hot / older leaky home,35 - very hot / poor insulation"</formula1>
    </dataValidation>
  </dataValidations>
  <printOptions horizontalCentered="1"/>
  <pageMargins left="0.75" right="0.75" top="1" bottom="1" header="0.5" footer="0.5"/>
  <pageSetup orientation="portrait" fitToWidth="1"/>
  <headerFooter>
    <oddHeader>&amp;C&amp;11 Highway 38 Solutions</oddHeader>
    <oddFooter/>
    <evenHeader>&amp;C&amp;11 Highway 38 Solutions</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92"/>
  <sheetViews>
    <sheetView workbookViewId="0">
      <selection activeCell="A1" sqref="A1"/>
    </sheetView>
  </sheetViews>
  <sheetFormatPr baseColWidth="8" defaultRowHeight="15"/>
  <cols>
    <col width="16" customWidth="1" min="1" max="1"/>
    <col width="14" customWidth="1" min="2" max="2"/>
    <col width="14" customWidth="1" min="3" max="3"/>
    <col width="16" customWidth="1" min="4" max="4"/>
    <col width="14" customWidth="1" min="5" max="5"/>
    <col width="14" customWidth="1" min="6" max="6"/>
  </cols>
  <sheetData>
    <row r="1" ht="24" customHeight="1">
      <c r="A1" s="56" t="inlineStr">
        <is>
          <t>HVAC REFERENCE - Refrigerant PT chart, duct equivalents &amp; filter sizes</t>
        </is>
      </c>
    </row>
    <row r="2" ht="28" customHeight="1">
      <c r="A2" s="57" t="inlineStr">
        <is>
          <t>Saturation pressures for the gauge manifold, the round duct a rectangular one acts like, and the filter sizes that actually exist. Sizing and savings calculators are on the HVAC sheet.</t>
        </is>
      </c>
    </row>
    <row r="4" ht="20" customHeight="1">
      <c r="A4" s="35" t="inlineStr">
        <is>
          <t>REFRIGERANT PT CHART - saturation pressure (psig)</t>
        </is>
      </c>
    </row>
    <row r="5">
      <c r="A5" s="14" t="inlineStr">
        <is>
          <t>Temp (°F)</t>
        </is>
      </c>
      <c r="B5" s="14" t="inlineStr">
        <is>
          <t>R-410A</t>
        </is>
      </c>
      <c r="C5" s="14" t="inlineStr">
        <is>
          <t>R-22</t>
        </is>
      </c>
      <c r="D5" s="14" t="inlineStr">
        <is>
          <t>Temp (°F)</t>
        </is>
      </c>
      <c r="E5" s="14" t="inlineStr">
        <is>
          <t>R-410A</t>
        </is>
      </c>
      <c r="F5" s="14" t="inlineStr">
        <is>
          <t>R-22</t>
        </is>
      </c>
    </row>
    <row r="6">
      <c r="A6" s="66" t="n">
        <v>0</v>
      </c>
      <c r="B6" s="62" t="n">
        <v>48.4</v>
      </c>
      <c r="C6" s="62" t="n">
        <v>24</v>
      </c>
      <c r="D6" s="66" t="n">
        <v>70</v>
      </c>
      <c r="E6" s="62" t="n">
        <v>201.8</v>
      </c>
      <c r="F6" s="62" t="n">
        <v>121.4</v>
      </c>
    </row>
    <row r="7">
      <c r="A7" s="66" t="n">
        <v>5</v>
      </c>
      <c r="B7" s="62" t="n">
        <v>55.2</v>
      </c>
      <c r="C7" s="62" t="n">
        <v>28.2</v>
      </c>
      <c r="D7" s="66" t="n">
        <v>75</v>
      </c>
      <c r="E7" s="62" t="n">
        <v>218.7</v>
      </c>
      <c r="F7" s="62" t="n">
        <v>132</v>
      </c>
    </row>
    <row r="8">
      <c r="A8" s="66" t="n">
        <v>10</v>
      </c>
      <c r="B8" s="62" t="n">
        <v>62.4</v>
      </c>
      <c r="C8" s="62" t="n">
        <v>32.8</v>
      </c>
      <c r="D8" s="66" t="n">
        <v>80</v>
      </c>
      <c r="E8" s="62" t="n">
        <v>236.5</v>
      </c>
      <c r="F8" s="62" t="n">
        <v>143.6</v>
      </c>
    </row>
    <row r="9">
      <c r="A9" s="66" t="n">
        <v>15</v>
      </c>
      <c r="B9" s="62" t="n">
        <v>70.3</v>
      </c>
      <c r="C9" s="62" t="n">
        <v>37.7</v>
      </c>
      <c r="D9" s="66" t="n">
        <v>85</v>
      </c>
      <c r="E9" s="62" t="n">
        <v>255.4</v>
      </c>
      <c r="F9" s="62" t="n">
        <v>156</v>
      </c>
    </row>
    <row r="10">
      <c r="A10" s="66" t="n">
        <v>20</v>
      </c>
      <c r="B10" s="62" t="n">
        <v>78.7</v>
      </c>
      <c r="C10" s="62" t="n">
        <v>43.1</v>
      </c>
      <c r="D10" s="66" t="n">
        <v>90</v>
      </c>
      <c r="E10" s="62" t="n">
        <v>275.4</v>
      </c>
      <c r="F10" s="62" t="n">
        <v>168.4</v>
      </c>
    </row>
    <row r="11">
      <c r="A11" s="66" t="n">
        <v>25</v>
      </c>
      <c r="B11" s="62" t="n">
        <v>87.7</v>
      </c>
      <c r="C11" s="62" t="n">
        <v>48.8</v>
      </c>
      <c r="D11" s="66" t="n">
        <v>95</v>
      </c>
      <c r="E11" s="62" t="n">
        <v>296.4</v>
      </c>
      <c r="F11" s="62" t="n">
        <v>181.9</v>
      </c>
    </row>
    <row r="12">
      <c r="A12" s="66" t="n">
        <v>30</v>
      </c>
      <c r="B12" s="62" t="n">
        <v>97.40000000000001</v>
      </c>
      <c r="C12" s="62" t="n">
        <v>55</v>
      </c>
      <c r="D12" s="66" t="n">
        <v>100</v>
      </c>
      <c r="E12" s="62" t="n">
        <v>318.6</v>
      </c>
      <c r="F12" s="62" t="n">
        <v>195.9</v>
      </c>
    </row>
    <row r="13">
      <c r="A13" s="66" t="n">
        <v>35</v>
      </c>
      <c r="B13" s="62" t="n">
        <v>107.7</v>
      </c>
      <c r="C13" s="62" t="n">
        <v>61.5</v>
      </c>
      <c r="D13" s="66" t="n">
        <v>105</v>
      </c>
      <c r="E13" s="62" t="n">
        <v>341.9</v>
      </c>
      <c r="F13" s="62" t="n">
        <v>211</v>
      </c>
    </row>
    <row r="14">
      <c r="A14" s="66" t="n">
        <v>40</v>
      </c>
      <c r="B14" s="62" t="n">
        <v>118.8</v>
      </c>
      <c r="C14" s="62" t="n">
        <v>68.59999999999999</v>
      </c>
      <c r="D14" s="66" t="n">
        <v>110</v>
      </c>
      <c r="E14" s="62" t="n">
        <v>366.4</v>
      </c>
      <c r="F14" s="62" t="n">
        <v>226.4</v>
      </c>
    </row>
    <row r="15">
      <c r="A15" s="66" t="n">
        <v>45</v>
      </c>
      <c r="B15" s="62" t="n">
        <v>130.6</v>
      </c>
      <c r="C15" s="62" t="n">
        <v>76</v>
      </c>
      <c r="D15" s="66" t="n">
        <v>115</v>
      </c>
      <c r="E15" s="62" t="n">
        <v>392.3</v>
      </c>
      <c r="F15" s="62" t="n">
        <v>243</v>
      </c>
    </row>
    <row r="16">
      <c r="A16" s="66" t="n">
        <v>50</v>
      </c>
      <c r="B16" s="62" t="n">
        <v>143.2</v>
      </c>
      <c r="C16" s="62" t="n">
        <v>84.09999999999999</v>
      </c>
      <c r="D16" s="66" t="n">
        <v>120</v>
      </c>
      <c r="E16" s="62" t="n">
        <v>419.4</v>
      </c>
      <c r="F16" s="62" t="n">
        <v>260</v>
      </c>
    </row>
    <row r="17">
      <c r="A17" s="66" t="n">
        <v>55</v>
      </c>
      <c r="B17" s="62" t="n">
        <v>156.5</v>
      </c>
      <c r="C17" s="62" t="n">
        <v>92.59999999999999</v>
      </c>
      <c r="D17" s="66" t="n">
        <v>125</v>
      </c>
      <c r="E17" s="62" t="n">
        <v>447.9</v>
      </c>
      <c r="F17" s="62" t="n">
        <v>278</v>
      </c>
    </row>
    <row r="18">
      <c r="A18" s="66" t="n">
        <v>60</v>
      </c>
      <c r="B18" s="62" t="n">
        <v>170.7</v>
      </c>
      <c r="C18" s="62" t="n">
        <v>101.6</v>
      </c>
      <c r="D18" s="66" t="n">
        <v>130</v>
      </c>
      <c r="E18" s="62" t="n">
        <v>477.9</v>
      </c>
      <c r="F18" s="62" t="n">
        <v>296.9</v>
      </c>
    </row>
    <row r="19">
      <c r="A19" s="66" t="n">
        <v>65</v>
      </c>
      <c r="B19" s="62" t="n">
        <v>185.8</v>
      </c>
      <c r="C19" s="62" t="n">
        <v>111.3</v>
      </c>
    </row>
    <row r="20" ht="70" customHeight="1">
      <c r="A20" s="61" t="inlineStr">
        <is>
          <t>These are saturation pressures - what the gauge reads when liquid and vapor sit together at that temperature, which is how superheat and subcooling get figured. R-410A values are the liquid (bubble) column; its vapor (dew) column runs 0.2-1.1 psi lower, well inside a degree of superheat. A running system's pressures land near these numbers, not on them: the low side tracks the coil temperature (about 40 °F saturation on a design day - 118 psig on R-410A, 69 on R-22) and the high side runs 25-30 °F of saturation over the outdoor temperature on a clean, correctly charged system.</t>
        </is>
      </c>
    </row>
    <row r="22" ht="20" customHeight="1">
      <c r="A22" s="82" t="inlineStr">
        <is>
          <t>R-454B (OPTEON XL41) - FULL PT CHART, bubble &amp; dew (psig)</t>
        </is>
      </c>
    </row>
    <row r="23">
      <c r="A23" s="83" t="inlineStr">
        <is>
          <t>Temp (°F)</t>
        </is>
      </c>
      <c r="B23" s="83" t="inlineStr">
        <is>
          <t>Bubble (liquid)</t>
        </is>
      </c>
      <c r="C23" s="83" t="inlineStr">
        <is>
          <t>Dew (vapor)</t>
        </is>
      </c>
      <c r="D23" s="83" t="inlineStr">
        <is>
          <t>Temp (°F)</t>
        </is>
      </c>
      <c r="E23" s="83" t="inlineStr">
        <is>
          <t>Bubble (liquid)</t>
        </is>
      </c>
      <c r="F23" s="83" t="inlineStr">
        <is>
          <t>Dew (vapor)</t>
        </is>
      </c>
    </row>
    <row r="24">
      <c r="A24" s="84" t="n">
        <v>-20</v>
      </c>
      <c r="B24" s="84" t="n">
        <v>24.3</v>
      </c>
      <c r="C24" s="84" t="n">
        <v>23</v>
      </c>
      <c r="D24" s="84" t="n">
        <v>55</v>
      </c>
      <c r="E24" s="84" t="n">
        <v>147.6</v>
      </c>
      <c r="F24" s="84" t="inlineStr">
        <is>
          <t>142.2*</t>
        </is>
      </c>
    </row>
    <row r="25">
      <c r="A25" s="84" t="n">
        <v>-15</v>
      </c>
      <c r="B25" s="84" t="n">
        <v>28.9</v>
      </c>
      <c r="C25" s="84" t="n">
        <v>27.5</v>
      </c>
      <c r="D25" s="84" t="n">
        <v>60</v>
      </c>
      <c r="E25" s="84" t="n">
        <v>161</v>
      </c>
      <c r="F25" s="84" t="n">
        <v>155.4</v>
      </c>
    </row>
    <row r="26">
      <c r="A26" s="84" t="n">
        <v>-10</v>
      </c>
      <c r="B26" s="84" t="n">
        <v>34</v>
      </c>
      <c r="C26" s="84" t="n">
        <v>32.3</v>
      </c>
      <c r="D26" s="84" t="n">
        <v>65</v>
      </c>
      <c r="E26" s="84" t="n">
        <v>175.3</v>
      </c>
      <c r="F26" s="84" t="n">
        <v>168.5</v>
      </c>
    </row>
    <row r="27">
      <c r="A27" s="84" t="n">
        <v>-5</v>
      </c>
      <c r="B27" s="84" t="n">
        <v>39.4</v>
      </c>
      <c r="C27" s="84" t="n">
        <v>37.6</v>
      </c>
      <c r="D27" s="84" t="n">
        <v>70</v>
      </c>
      <c r="E27" s="84" t="n">
        <v>190.4</v>
      </c>
      <c r="F27" s="84" t="n">
        <v>183.1</v>
      </c>
    </row>
    <row r="28">
      <c r="A28" s="84" t="n">
        <v>0</v>
      </c>
      <c r="B28" s="84" t="n">
        <v>45.3</v>
      </c>
      <c r="C28" s="84" t="n">
        <v>43.3</v>
      </c>
      <c r="D28" s="84" t="n">
        <v>75</v>
      </c>
      <c r="E28" s="84" t="n">
        <v>206.4</v>
      </c>
      <c r="F28" s="84" t="n">
        <v>198.7</v>
      </c>
    </row>
    <row r="29">
      <c r="A29" s="84" t="n">
        <v>5</v>
      </c>
      <c r="B29" s="84" t="n">
        <v>51.7</v>
      </c>
      <c r="C29" s="84" t="n">
        <v>49.4</v>
      </c>
      <c r="D29" s="84" t="n">
        <v>80</v>
      </c>
      <c r="E29" s="84" t="n">
        <v>223.3</v>
      </c>
      <c r="F29" s="84" t="n">
        <v>216.1</v>
      </c>
    </row>
    <row r="30">
      <c r="A30" s="84" t="n">
        <v>10</v>
      </c>
      <c r="B30" s="84" t="n">
        <v>58.6</v>
      </c>
      <c r="C30" s="84" t="n">
        <v>56.1</v>
      </c>
      <c r="D30" s="84" t="n">
        <v>85</v>
      </c>
      <c r="E30" s="84" t="n">
        <v>241.1</v>
      </c>
      <c r="F30" s="84" t="inlineStr">
        <is>
          <t>233.5*</t>
        </is>
      </c>
    </row>
    <row r="31">
      <c r="A31" s="84" t="n">
        <v>15</v>
      </c>
      <c r="B31" s="84" t="n">
        <v>66</v>
      </c>
      <c r="C31" s="84" t="n">
        <v>63.2</v>
      </c>
      <c r="D31" s="84" t="n">
        <v>90</v>
      </c>
      <c r="E31" s="84" t="n">
        <v>260</v>
      </c>
      <c r="F31" s="84" t="n">
        <v>251</v>
      </c>
    </row>
    <row r="32" ht="56" customHeight="1">
      <c r="A32" s="84" t="n">
        <v>20</v>
      </c>
      <c r="B32" s="84" t="n">
        <v>74</v>
      </c>
      <c r="C32" s="84" t="n">
        <v>70.90000000000001</v>
      </c>
      <c r="D32" s="84" t="n">
        <v>95</v>
      </c>
      <c r="E32" s="84" t="n">
        <v>279.9</v>
      </c>
      <c r="F32" s="84" t="n">
        <v>270.4</v>
      </c>
    </row>
    <row r="33">
      <c r="A33" s="84" t="n">
        <v>25</v>
      </c>
      <c r="B33" s="84" t="n">
        <v>82.5</v>
      </c>
      <c r="C33" s="84" t="inlineStr">
        <is>
          <t>78.9*</t>
        </is>
      </c>
      <c r="D33" s="84" t="n">
        <v>100</v>
      </c>
      <c r="E33" s="84" t="n">
        <v>300.8</v>
      </c>
      <c r="F33" s="84" t="n">
        <v>291.6</v>
      </c>
    </row>
    <row r="34">
      <c r="A34" s="84" t="n">
        <v>30</v>
      </c>
      <c r="B34" s="84" t="n">
        <v>91.7</v>
      </c>
      <c r="C34" s="84" t="inlineStr">
        <is>
          <t>87.8*</t>
        </is>
      </c>
      <c r="D34" s="84" t="n">
        <v>105</v>
      </c>
      <c r="E34" s="84" t="n">
        <v>322.8</v>
      </c>
      <c r="F34" s="84" t="inlineStr">
        <is>
          <t>313.5*</t>
        </is>
      </c>
    </row>
    <row r="35">
      <c r="A35" s="84" t="n">
        <v>35</v>
      </c>
      <c r="B35" s="84" t="n">
        <v>101.5</v>
      </c>
      <c r="C35" s="84" t="inlineStr">
        <is>
          <t>97.3*</t>
        </is>
      </c>
      <c r="D35" s="84" t="n">
        <v>110</v>
      </c>
      <c r="E35" s="84" t="n">
        <v>346</v>
      </c>
      <c r="F35" s="84" t="n">
        <v>335.2</v>
      </c>
    </row>
    <row r="36">
      <c r="A36" s="84" t="n">
        <v>40</v>
      </c>
      <c r="B36" s="84" t="n">
        <v>111.9</v>
      </c>
      <c r="C36" s="84" t="n">
        <v>107.7</v>
      </c>
      <c r="D36" s="84" t="n">
        <v>115</v>
      </c>
      <c r="E36" s="84" t="n">
        <v>370.4</v>
      </c>
      <c r="F36" s="84" t="inlineStr">
        <is>
          <t>360.3*</t>
        </is>
      </c>
    </row>
    <row r="37">
      <c r="A37" s="84" t="n">
        <v>45</v>
      </c>
      <c r="B37" s="84" t="n">
        <v>123.1</v>
      </c>
      <c r="C37" s="84" t="n">
        <v>117.8</v>
      </c>
      <c r="D37" s="84" t="n">
        <v>120</v>
      </c>
      <c r="E37" s="84" t="n">
        <v>395.9</v>
      </c>
      <c r="F37" s="84" t="n">
        <v>384</v>
      </c>
    </row>
    <row r="38">
      <c r="A38" s="84" t="n">
        <v>50</v>
      </c>
      <c r="B38" s="84" t="n">
        <v>135</v>
      </c>
      <c r="C38" s="84" t="n">
        <v>130.1</v>
      </c>
      <c r="D38" s="84" t="n">
        <v>125</v>
      </c>
      <c r="E38" s="84" t="n">
        <v>422.8</v>
      </c>
      <c r="F38" s="84" t="n">
        <v>410.8</v>
      </c>
    </row>
    <row r="39">
      <c r="A39" s="84" t="n"/>
      <c r="B39" s="84" t="n"/>
      <c r="C39" s="84" t="n"/>
      <c r="D39" s="84" t="n">
        <v>130</v>
      </c>
      <c r="E39" s="84" t="n">
        <v>450.9</v>
      </c>
      <c r="F39" s="84" t="inlineStr">
        <is>
          <t>440.0*</t>
        </is>
      </c>
    </row>
    <row r="40" ht="30" customHeight="1">
      <c r="A40" s="85" t="inlineStr">
        <is>
          <t>Figure superheat from the dew column and subcooling from the bubble column - R-454B has real temperature glide (about 2.3 °F at 40 °F), so the two columns are not interchangeable. Its pressures run about 6% under R-410A at the same temperature.</t>
        </is>
      </c>
    </row>
    <row r="41" ht="42" customHeight="1">
      <c r="A41" s="85" t="inlineStr">
        <is>
          <t>Sources, stated plainly: the bubble column is Senville's published R-454B pressure chart (an equipment maker's chart, all temperatures). The dew column is the Daikin / Total Green OEM charging manual PT chart (LIT-23) with Deepsel cheat-sheet and York (Danfoss-slider) published values - except the cells marked *, where no published 5° value exists; those are model-computed (CoolProp) and each sits within about 1 psi of the published charts at every temperature where they overlap. R-454B is an A2L refrigerant - mildly flammable - A2L-rated equipment and procedures only.</t>
        </is>
      </c>
    </row>
    <row r="42" ht="20" customHeight="1">
      <c r="A42" s="35" t="inlineStr">
        <is>
          <t>RECTANGULAR DUCT - the round duct it acts like, and the CFM it carries</t>
        </is>
      </c>
    </row>
    <row r="43">
      <c r="A43" s="14" t="inlineStr">
        <is>
          <t>Width (in)</t>
        </is>
      </c>
      <c r="B43" s="14" t="inlineStr">
        <is>
          <t>Height (in)</t>
        </is>
      </c>
      <c r="C43" s="14" t="inlineStr">
        <is>
          <t>Acts like round (in)</t>
        </is>
      </c>
      <c r="D43" s="14" t="inlineStr">
        <is>
          <t>CFM @ 600 fpm</t>
        </is>
      </c>
      <c r="E43" s="14" t="inlineStr">
        <is>
          <t>CFM @ 700 fpm</t>
        </is>
      </c>
      <c r="F43" s="84" t="n"/>
    </row>
    <row r="44">
      <c r="A44" s="66" t="n">
        <v>8</v>
      </c>
      <c r="B44" s="66" t="n">
        <v>4</v>
      </c>
      <c r="C44" s="62" t="n">
        <v>6.1</v>
      </c>
      <c r="D44" s="63">
        <f>(A44*B44/144)*600</f>
        <v/>
      </c>
      <c r="E44" s="63">
        <f>(A44*B44/144)*700</f>
        <v/>
      </c>
      <c r="F44" s="84" t="n"/>
    </row>
    <row r="45">
      <c r="A45" s="66" t="n">
        <v>10</v>
      </c>
      <c r="B45" s="66" t="n">
        <v>4</v>
      </c>
      <c r="C45" s="62" t="n">
        <v>6.7</v>
      </c>
      <c r="D45" s="63">
        <f>(A45*B45/144)*600</f>
        <v/>
      </c>
      <c r="E45" s="63">
        <f>(A45*B45/144)*700</f>
        <v/>
      </c>
      <c r="F45" s="84" t="n"/>
    </row>
    <row r="46">
      <c r="A46" s="66" t="n">
        <v>12</v>
      </c>
      <c r="B46" s="66" t="n">
        <v>4</v>
      </c>
      <c r="C46" s="62" t="n">
        <v>7.3</v>
      </c>
      <c r="D46" s="63">
        <f>(A46*B46/144)*600</f>
        <v/>
      </c>
      <c r="E46" s="63">
        <f>(A46*B46/144)*700</f>
        <v/>
      </c>
      <c r="F46" s="84" t="n"/>
    </row>
    <row r="47">
      <c r="A47" s="66" t="n">
        <v>14</v>
      </c>
      <c r="B47" s="66" t="n">
        <v>4</v>
      </c>
      <c r="C47" s="62" t="n">
        <v>7.8</v>
      </c>
      <c r="D47" s="63">
        <f>(A47*B47/144)*600</f>
        <v/>
      </c>
      <c r="E47" s="63">
        <f>(A47*B47/144)*700</f>
        <v/>
      </c>
      <c r="F47" s="84" t="n"/>
    </row>
    <row r="48">
      <c r="A48" s="66" t="n">
        <v>10</v>
      </c>
      <c r="B48" s="66" t="n">
        <v>6</v>
      </c>
      <c r="C48" s="62" t="n">
        <v>8.4</v>
      </c>
      <c r="D48" s="63">
        <f>(A48*B48/144)*600</f>
        <v/>
      </c>
      <c r="E48" s="63">
        <f>(A48*B48/144)*700</f>
        <v/>
      </c>
      <c r="F48" s="84" t="n"/>
    </row>
    <row r="49">
      <c r="A49" s="66" t="n">
        <v>12</v>
      </c>
      <c r="B49" s="66" t="n">
        <v>6</v>
      </c>
      <c r="C49" s="62" t="n">
        <v>9.1</v>
      </c>
      <c r="D49" s="63">
        <f>(A49*B49/144)*600</f>
        <v/>
      </c>
      <c r="E49" s="63">
        <f>(A49*B49/144)*700</f>
        <v/>
      </c>
      <c r="F49" s="84" t="n"/>
    </row>
    <row r="50">
      <c r="A50" s="66" t="n">
        <v>14</v>
      </c>
      <c r="B50" s="66" t="n">
        <v>6</v>
      </c>
      <c r="C50" s="62" t="n">
        <v>9.800000000000001</v>
      </c>
      <c r="D50" s="63">
        <f>(A50*B50/144)*600</f>
        <v/>
      </c>
      <c r="E50" s="63">
        <f>(A50*B50/144)*700</f>
        <v/>
      </c>
      <c r="F50" s="84" t="n"/>
    </row>
    <row r="51">
      <c r="A51" s="66" t="n">
        <v>16</v>
      </c>
      <c r="B51" s="66" t="n">
        <v>6</v>
      </c>
      <c r="C51" s="62" t="n">
        <v>10.4</v>
      </c>
      <c r="D51" s="63">
        <f>(A51*B51/144)*600</f>
        <v/>
      </c>
      <c r="E51" s="63">
        <f>(A51*B51/144)*700</f>
        <v/>
      </c>
      <c r="F51" s="84" t="n"/>
    </row>
    <row r="52">
      <c r="A52" s="66" t="n">
        <v>12</v>
      </c>
      <c r="B52" s="66" t="n">
        <v>8</v>
      </c>
      <c r="C52" s="62" t="n">
        <v>10.7</v>
      </c>
      <c r="D52" s="63">
        <f>(A52*B52/144)*600</f>
        <v/>
      </c>
      <c r="E52" s="63">
        <f>(A52*B52/144)*700</f>
        <v/>
      </c>
      <c r="F52" s="84" t="n"/>
    </row>
    <row r="53">
      <c r="A53" s="66" t="n">
        <v>14</v>
      </c>
      <c r="B53" s="66" t="n">
        <v>8</v>
      </c>
      <c r="C53" s="62" t="n">
        <v>11.5</v>
      </c>
      <c r="D53" s="63">
        <f>(A53*B53/144)*600</f>
        <v/>
      </c>
      <c r="E53" s="63">
        <f>(A53*B53/144)*700</f>
        <v/>
      </c>
      <c r="F53" s="84" t="n"/>
    </row>
    <row r="54">
      <c r="A54" s="66" t="n">
        <v>16</v>
      </c>
      <c r="B54" s="66" t="n">
        <v>8</v>
      </c>
      <c r="C54" s="62" t="n">
        <v>12.2</v>
      </c>
      <c r="D54" s="63">
        <f>(A54*B54/144)*600</f>
        <v/>
      </c>
      <c r="E54" s="63">
        <f>(A54*B54/144)*700</f>
        <v/>
      </c>
      <c r="F54" s="84" t="n"/>
    </row>
    <row r="55">
      <c r="A55" s="66" t="n">
        <v>18</v>
      </c>
      <c r="B55" s="66" t="n">
        <v>8</v>
      </c>
      <c r="C55" s="62" t="n">
        <v>12.9</v>
      </c>
      <c r="D55" s="63">
        <f>(A55*B55/144)*600</f>
        <v/>
      </c>
      <c r="E55" s="63">
        <f>(A55*B55/144)*700</f>
        <v/>
      </c>
      <c r="F55" s="84" t="n"/>
    </row>
    <row r="56">
      <c r="A56" s="66" t="n">
        <v>20</v>
      </c>
      <c r="B56" s="66" t="n">
        <v>8</v>
      </c>
      <c r="C56" s="62" t="n">
        <v>13.5</v>
      </c>
      <c r="D56" s="63">
        <f>(A56*B56/144)*600</f>
        <v/>
      </c>
      <c r="E56" s="63">
        <f>(A56*B56/144)*700</f>
        <v/>
      </c>
      <c r="F56" s="84" t="n"/>
    </row>
    <row r="57">
      <c r="A57" s="66" t="n">
        <v>16</v>
      </c>
      <c r="B57" s="66" t="n">
        <v>10</v>
      </c>
      <c r="C57" s="62" t="n">
        <v>13.7</v>
      </c>
      <c r="D57" s="63">
        <f>(A57*B57/144)*600</f>
        <v/>
      </c>
      <c r="E57" s="63">
        <f>(A57*B57/144)*700</f>
        <v/>
      </c>
      <c r="F57" s="84" t="n"/>
    </row>
    <row r="58">
      <c r="A58" s="66" t="n">
        <v>18</v>
      </c>
      <c r="B58" s="66" t="n">
        <v>10</v>
      </c>
      <c r="C58" s="62" t="n">
        <v>14.5</v>
      </c>
      <c r="D58" s="63">
        <f>(A58*B58/144)*600</f>
        <v/>
      </c>
      <c r="E58" s="63">
        <f>(A58*B58/144)*700</f>
        <v/>
      </c>
      <c r="F58" s="84" t="n"/>
    </row>
    <row r="59">
      <c r="A59" s="66" t="n">
        <v>20</v>
      </c>
      <c r="B59" s="66" t="n">
        <v>10</v>
      </c>
      <c r="C59" s="62" t="n">
        <v>15.2</v>
      </c>
      <c r="D59" s="63">
        <f>(A59*B59/144)*600</f>
        <v/>
      </c>
      <c r="E59" s="63">
        <f>(A59*B59/144)*700</f>
        <v/>
      </c>
      <c r="F59" s="84" t="n"/>
    </row>
    <row r="60">
      <c r="A60" s="66" t="n">
        <v>24</v>
      </c>
      <c r="B60" s="66" t="n">
        <v>10</v>
      </c>
      <c r="C60" s="62" t="n">
        <v>16.5</v>
      </c>
      <c r="D60" s="63">
        <f>(A60*B60/144)*600</f>
        <v/>
      </c>
      <c r="E60" s="63">
        <f>(A60*B60/144)*700</f>
        <v/>
      </c>
      <c r="F60" s="84" t="n"/>
    </row>
    <row r="61">
      <c r="A61" s="66" t="n">
        <v>20</v>
      </c>
      <c r="B61" s="66" t="n">
        <v>12</v>
      </c>
      <c r="C61" s="62" t="n">
        <v>16.8</v>
      </c>
      <c r="D61" s="63">
        <f>(A61*B61/144)*600</f>
        <v/>
      </c>
      <c r="E61" s="63">
        <f>(A61*B61/144)*700</f>
        <v/>
      </c>
      <c r="F61" s="84" t="n"/>
    </row>
    <row r="62">
      <c r="A62" s="66" t="n">
        <v>24</v>
      </c>
      <c r="B62" s="66" t="n">
        <v>12</v>
      </c>
      <c r="C62" s="62" t="n">
        <v>18.3</v>
      </c>
      <c r="D62" s="63">
        <f>(A62*B62/144)*600</f>
        <v/>
      </c>
      <c r="E62" s="63">
        <f>(A62*B62/144)*700</f>
        <v/>
      </c>
      <c r="F62" s="84" t="n"/>
    </row>
    <row r="63" ht="42" customHeight="1">
      <c r="A63" s="61" t="inlineStr">
        <is>
          <t>Equivalent round sizes by the ASHRAE (Huebscher) equation - same friction, same flow. CFM columns are the rectangle's own area at branch-duct velocities, matching the round-duct lookup on the HVAC sheet.</t>
        </is>
      </c>
    </row>
    <row r="64" ht="42" customHeight="1">
      <c r="A64" s="61" t="inlineStr">
        <is>
          <t>Flex duct honesty: a fully stretched flex run moves about what smooth metal one size smaller moves, and sagging or compressed flex can lose a third or more of its flow. Keep flex short, pulled tight, and bent gently - or go one size up.</t>
        </is>
      </c>
    </row>
    <row r="65">
      <c r="A65" s="84" t="n"/>
      <c r="B65" s="84" t="n"/>
      <c r="C65" s="84" t="n"/>
      <c r="D65" s="84" t="n"/>
      <c r="E65" s="84" t="n"/>
      <c r="F65" s="84" t="n"/>
    </row>
    <row r="66" ht="20" customHeight="1">
      <c r="A66" s="35" t="inlineStr">
        <is>
          <t>FILTERS &amp; RETURNS - sizes that exist, and how much filter a system needs</t>
        </is>
      </c>
    </row>
    <row r="67">
      <c r="A67" s="9" t="inlineStr">
        <is>
          <t>10×20</t>
        </is>
      </c>
      <c r="B67" s="84" t="n"/>
      <c r="C67" s="9" t="inlineStr">
        <is>
          <t>12×20</t>
        </is>
      </c>
      <c r="D67" s="84" t="n"/>
      <c r="E67" s="9" t="inlineStr">
        <is>
          <t>12×24</t>
        </is>
      </c>
      <c r="F67" s="84" t="n"/>
    </row>
    <row r="68">
      <c r="A68" s="9" t="inlineStr">
        <is>
          <t>14×20</t>
        </is>
      </c>
      <c r="B68" s="84" t="n"/>
      <c r="C68" s="9" t="inlineStr">
        <is>
          <t>14×24</t>
        </is>
      </c>
      <c r="D68" s="84" t="n"/>
      <c r="E68" s="9" t="inlineStr">
        <is>
          <t>14×25</t>
        </is>
      </c>
      <c r="F68" s="84" t="n"/>
    </row>
    <row r="69">
      <c r="A69" s="9" t="inlineStr">
        <is>
          <t>16×20</t>
        </is>
      </c>
      <c r="B69" s="84" t="n"/>
      <c r="C69" s="9" t="inlineStr">
        <is>
          <t>16×24</t>
        </is>
      </c>
      <c r="D69" s="84" t="n"/>
      <c r="E69" s="9" t="inlineStr">
        <is>
          <t>16×25</t>
        </is>
      </c>
      <c r="F69" s="84" t="n"/>
    </row>
    <row r="70">
      <c r="A70" s="9" t="inlineStr">
        <is>
          <t>18×24</t>
        </is>
      </c>
      <c r="B70" s="84" t="n"/>
      <c r="C70" s="9" t="inlineStr">
        <is>
          <t>18×25</t>
        </is>
      </c>
      <c r="D70" s="84" t="n"/>
      <c r="E70" s="9" t="inlineStr">
        <is>
          <t>20×20</t>
        </is>
      </c>
      <c r="F70" s="84" t="n"/>
    </row>
    <row r="71">
      <c r="A71" s="9" t="inlineStr">
        <is>
          <t>20×24</t>
        </is>
      </c>
      <c r="B71" s="84" t="n"/>
      <c r="C71" s="9" t="inlineStr">
        <is>
          <t>20×25</t>
        </is>
      </c>
      <c r="D71" s="84" t="n"/>
      <c r="E71" s="9" t="inlineStr">
        <is>
          <t>20×30</t>
        </is>
      </c>
      <c r="F71" s="84" t="n"/>
    </row>
    <row r="72">
      <c r="A72" s="9" t="inlineStr">
        <is>
          <t>24×24</t>
        </is>
      </c>
      <c r="B72" s="84" t="n"/>
      <c r="C72" s="9" t="inlineStr">
        <is>
          <t>24×30</t>
        </is>
      </c>
      <c r="D72" s="84" t="n"/>
      <c r="E72" s="84" t="n"/>
      <c r="F72" s="84" t="n"/>
    </row>
    <row r="73" ht="70" customHeight="1">
      <c r="A73" s="61" t="inlineStr">
        <is>
          <t>Common 1 in sizes above (most also come in 2 in and 4 in depths). Sizing rules that keep blowers alive: about 200 sq in of filter area per ton holds face velocity near 300 fpm, and a filter should never see more than about 500 fpm. A system moves about 400 CFM per ton (350-450 depending on climate and humidity goals). Size return grilles for 500 fpm at the face or less - returns get quieter as they get bigger, never the other way around.</t>
        </is>
      </c>
    </row>
    <row r="75" ht="20" customHeight="1">
      <c r="A75" s="35" t="inlineStr">
        <is>
          <t>CHARGING TARGETS - rules of thumb (the unit's own chart governs)</t>
        </is>
      </c>
    </row>
    <row r="76" ht="28" customHeight="1">
      <c r="A76" s="61" t="inlineStr">
        <is>
          <t>•  TXV / electronic expansion valve systems: charge by subcooling. The nameplate or the chart inside the unit gives the target - commonly 8-12 °F.</t>
        </is>
      </c>
    </row>
    <row r="77" ht="28" customHeight="1">
      <c r="A77" s="61" t="inlineStr">
        <is>
          <t>•  Fixed-orifice (piston) systems: charge by superheat, from the charging chart that ships with the unit - commonly 8-14 °F at typical indoor and outdoor conditions.</t>
        </is>
      </c>
    </row>
    <row r="78" ht="28" customHeight="1">
      <c r="A78" s="61" t="inlineStr">
        <is>
          <t>•  Weigh the charge in on a new install whenever the lineset length is known - the nameplate charge plus the lineset adjustment beats any gauge guess.</t>
        </is>
      </c>
    </row>
    <row r="80" ht="56" customHeight="1">
      <c r="A80" s="61" t="inlineStr">
        <is>
          <t>Sources: R-410A and R-22 saturation data from published manufacturer PT tables (Chemours/DuPont-style charts); R-454B full chart: bubble column from Senville's published PT chart, dew column from the Daikin/Total Green OEM charging manual (LIT-23) and Deepsel/York published charts, with a few model-computed cells marked * (see the chart note); line sizes are typical maker-shipped sizes; duct equivalents from the ASHRAE Huebscher equation; filter velocities are standard manufacturer guidance. Refrigerant work belongs to EPA Section 608-certified techs, and the equipment maker's chart always wins over a rule of thumb.</t>
        </is>
      </c>
    </row>
    <row r="82">
      <c r="A82" s="35" t="inlineStr">
        <is>
          <t>REFRIGERANT LINE SIZES - typical suction &amp; liquid lines by tonnage</t>
        </is>
      </c>
    </row>
    <row r="83">
      <c r="A83" s="14" t="inlineStr">
        <is>
          <t>System size</t>
        </is>
      </c>
      <c r="B83" s="14" t="inlineStr">
        <is>
          <t>Suction, run to 25 ft</t>
        </is>
      </c>
      <c r="C83" s="14" t="inlineStr">
        <is>
          <t>Liquid, run to 25 ft</t>
        </is>
      </c>
      <c r="D83" s="14" t="inlineStr">
        <is>
          <t>Suction, 26-50 ft</t>
        </is>
      </c>
      <c r="E83" s="14" t="inlineStr">
        <is>
          <t>Liquid, 26-50 ft</t>
        </is>
      </c>
    </row>
    <row r="84">
      <c r="A84" s="9" t="inlineStr">
        <is>
          <t>1.5 ton</t>
        </is>
      </c>
      <c r="B84" s="9" t="inlineStr">
        <is>
          <t>3/4″</t>
        </is>
      </c>
      <c r="C84" s="9" t="inlineStr">
        <is>
          <t>3/8″</t>
        </is>
      </c>
      <c r="D84" s="9" t="inlineStr">
        <is>
          <t>3/4″</t>
        </is>
      </c>
      <c r="E84" s="9" t="inlineStr">
        <is>
          <t>3/8″</t>
        </is>
      </c>
    </row>
    <row r="85">
      <c r="A85" s="9" t="inlineStr">
        <is>
          <t>2 ton</t>
        </is>
      </c>
      <c r="B85" s="9" t="inlineStr">
        <is>
          <t>3/4″</t>
        </is>
      </c>
      <c r="C85" s="9" t="inlineStr">
        <is>
          <t>3/8″</t>
        </is>
      </c>
      <c r="D85" s="9" t="inlineStr">
        <is>
          <t>7/8″</t>
        </is>
      </c>
      <c r="E85" s="9" t="inlineStr">
        <is>
          <t>3/8″</t>
        </is>
      </c>
    </row>
    <row r="86">
      <c r="A86" s="9" t="inlineStr">
        <is>
          <t>2.5 ton</t>
        </is>
      </c>
      <c r="B86" s="9" t="inlineStr">
        <is>
          <t>3/4″</t>
        </is>
      </c>
      <c r="C86" s="9" t="inlineStr">
        <is>
          <t>3/8″</t>
        </is>
      </c>
      <c r="D86" s="9" t="inlineStr">
        <is>
          <t>7/8″</t>
        </is>
      </c>
      <c r="E86" s="9" t="inlineStr">
        <is>
          <t>3/8″</t>
        </is>
      </c>
    </row>
    <row r="87">
      <c r="A87" s="9" t="inlineStr">
        <is>
          <t>3 ton</t>
        </is>
      </c>
      <c r="B87" s="9" t="inlineStr">
        <is>
          <t>3/4″</t>
        </is>
      </c>
      <c r="C87" s="9" t="inlineStr">
        <is>
          <t>3/8″</t>
        </is>
      </c>
      <c r="D87" s="9" t="inlineStr">
        <is>
          <t>7/8″</t>
        </is>
      </c>
      <c r="E87" s="9" t="inlineStr">
        <is>
          <t>3/8″</t>
        </is>
      </c>
    </row>
    <row r="88">
      <c r="A88" s="9" t="inlineStr">
        <is>
          <t>3.5 ton</t>
        </is>
      </c>
      <c r="B88" s="9" t="inlineStr">
        <is>
          <t>7/8″</t>
        </is>
      </c>
      <c r="C88" s="9" t="inlineStr">
        <is>
          <t>3/8″</t>
        </is>
      </c>
      <c r="D88" s="9" t="inlineStr">
        <is>
          <t>7/8″</t>
        </is>
      </c>
      <c r="E88" s="9" t="inlineStr">
        <is>
          <t>3/8″</t>
        </is>
      </c>
    </row>
    <row r="89">
      <c r="A89" s="9" t="inlineStr">
        <is>
          <t>4 ton</t>
        </is>
      </c>
      <c r="B89" s="9" t="inlineStr">
        <is>
          <t>7/8″</t>
        </is>
      </c>
      <c r="C89" s="9" t="inlineStr">
        <is>
          <t>3/8″</t>
        </is>
      </c>
      <c r="D89" s="9" t="inlineStr">
        <is>
          <t>1-1/8″</t>
        </is>
      </c>
      <c r="E89" s="9" t="inlineStr">
        <is>
          <t>3/8″</t>
        </is>
      </c>
    </row>
    <row r="90">
      <c r="A90" s="9" t="inlineStr">
        <is>
          <t>5 ton</t>
        </is>
      </c>
      <c r="B90" s="9" t="inlineStr">
        <is>
          <t>7/8″</t>
        </is>
      </c>
      <c r="C90" s="9" t="inlineStr">
        <is>
          <t>3/8″</t>
        </is>
      </c>
      <c r="D90" s="9" t="inlineStr">
        <is>
          <t>1-1/8″</t>
        </is>
      </c>
      <c r="E90" s="9" t="inlineStr">
        <is>
          <t>1/2″</t>
        </is>
      </c>
    </row>
    <row r="91" ht="42" customHeight="1">
      <c r="A91" s="43" t="inlineStr">
        <is>
          <t>TYPICAL - these are the sizes systems commonly ship with at standard lengths (Trane rated line sizes are the anchor: 3/4 in vapor on 2-3 ton, 7/8 in on 3.5-5 ton, 3/8 in liquid nearly everywhere). THE EQUIPMENT MAKER'S TABLE GOVERNS: long runs, big lifts and some brands differ, an undersized suction line costs capacity and superheat control, and charge adders are figured per foot of liquid line on the HVAC Loads sheet.</t>
        </is>
      </c>
    </row>
    <row r="92" ht="30" customHeight="1">
      <c r="A92" s="43" t="inlineStr">
        <is>
          <t>Runs past 50 ft, vertical lifts over about 20 ft, and oil return on risers are engineering checks, not chart lookups - follow the maker's long-line guide for the unit in front of you.</t>
        </is>
      </c>
    </row>
  </sheetData>
  <mergeCells count="20">
    <mergeCell ref="A41:F41"/>
    <mergeCell ref="A66:F66"/>
    <mergeCell ref="A80:F80"/>
    <mergeCell ref="A75:F75"/>
    <mergeCell ref="A2:F2"/>
    <mergeCell ref="A42:F42"/>
    <mergeCell ref="A76:F76"/>
    <mergeCell ref="A22:F22"/>
    <mergeCell ref="A4:F4"/>
    <mergeCell ref="A20:F20"/>
    <mergeCell ref="A91:F91"/>
    <mergeCell ref="A63:F63"/>
    <mergeCell ref="A40:F40"/>
    <mergeCell ref="A92:F92"/>
    <mergeCell ref="A77:F77"/>
    <mergeCell ref="A64:F64"/>
    <mergeCell ref="A73:F73"/>
    <mergeCell ref="A82:F82"/>
    <mergeCell ref="A1:F1"/>
    <mergeCell ref="A78:F78"/>
  </mergeCells>
  <pageMargins left="0.75" right="0.75" top="1" bottom="1" header="0.5" footer="0.5"/>
  <pageSetup orientation="portrait" fitToWidth="1"/>
  <headerFooter>
    <oddHeader>&amp;C&amp;11 Highway 38 Solutions</oddHeader>
    <oddFooter/>
    <evenHeader>&amp;C&amp;11 Highway 38 Solutions</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F89"/>
  <sheetViews>
    <sheetView workbookViewId="0">
      <selection activeCell="A1" sqref="A1"/>
    </sheetView>
  </sheetViews>
  <sheetFormatPr baseColWidth="8" defaultRowHeight="15"/>
  <cols>
    <col width="42" customWidth="1" min="1" max="1"/>
    <col width="15" customWidth="1" min="2" max="2"/>
    <col width="15" customWidth="1" min="3" max="3"/>
    <col width="18" customWidth="1" min="4" max="4"/>
    <col width="18" customWidth="1" min="5" max="5"/>
    <col width="58" customWidth="1" min="6" max="6"/>
  </cols>
  <sheetData>
    <row r="1" ht="24" customHeight="1">
      <c r="A1" s="56" t="inlineStr">
        <is>
          <t>HVAC LOADS - Load estimate, refrigerant charge, ventilation &amp; AFUE</t>
        </is>
      </c>
    </row>
    <row r="2" ht="28" customHeight="1">
      <c r="A2" s="2" t="inlineStr">
        <is>
          <t>A simplified load estimate (a ballpark, not a Manual J), refrigerant charge by weight, the ASHRAE 62.2 ventilation rate, and what an AFUE upgrade really saves.</t>
        </is>
      </c>
    </row>
    <row r="4" ht="20" customHeight="1">
      <c r="A4" s="35" t="inlineStr">
        <is>
          <t>1 - HEATING &amp; COOLING LOAD - SIMPLIFIED ESTIMATE ONLY</t>
        </is>
      </c>
    </row>
    <row r="5">
      <c r="A5" s="69" t="inlineStr">
        <is>
          <t>ESTIMATE ONLY - not a substitute for a full ACCA Manual J. Use it for ballparks, sanity checks and equipment conversations, not final equipment selection.</t>
        </is>
      </c>
    </row>
    <row r="6">
      <c r="A6" s="9" t="inlineStr">
        <is>
          <t>Indoor temperature - heating (deg F)</t>
        </is>
      </c>
      <c r="B6" s="36" t="n">
        <v>70</v>
      </c>
    </row>
    <row r="7">
      <c r="A7" s="9" t="inlineStr">
        <is>
          <t>Outdoor design temperature - heating (deg F)</t>
        </is>
      </c>
      <c r="B7" s="36" t="n">
        <v>0</v>
      </c>
    </row>
    <row r="8">
      <c r="A8" s="9" t="inlineStr">
        <is>
          <t>Heating temperature difference</t>
        </is>
      </c>
      <c r="B8" s="39">
        <f>B6-B7</f>
        <v/>
      </c>
    </row>
    <row r="9">
      <c r="A9" s="9" t="inlineStr">
        <is>
          <t>Indoor temperature - cooling (deg F)</t>
        </is>
      </c>
      <c r="B9" s="36" t="n">
        <v>75</v>
      </c>
    </row>
    <row r="10">
      <c r="A10" s="9" t="inlineStr">
        <is>
          <t>Outdoor design temperature - cooling (deg F)</t>
        </is>
      </c>
      <c r="B10" s="36" t="n">
        <v>95</v>
      </c>
    </row>
    <row r="11">
      <c r="A11" s="9" t="inlineStr">
        <is>
          <t>Cooling temperature difference</t>
        </is>
      </c>
      <c r="B11" s="39">
        <f>B10-B9</f>
        <v/>
      </c>
    </row>
    <row r="12">
      <c r="A12" s="14" t="inlineStr">
        <is>
          <t>Building part</t>
        </is>
      </c>
      <c r="B12" s="14" t="inlineStr">
        <is>
          <t>Area (sq ft)</t>
        </is>
      </c>
      <c r="C12" s="14" t="inlineStr">
        <is>
          <t>U-factor</t>
        </is>
      </c>
      <c r="D12" s="14" t="inlineStr">
        <is>
          <t>Heating (Btu/h)</t>
        </is>
      </c>
      <c r="E12" s="14" t="inlineStr">
        <is>
          <t>Cooling (Btu/h)</t>
        </is>
      </c>
    </row>
    <row r="13">
      <c r="A13" s="44" t="inlineStr">
        <is>
          <t>Walls (net of windows)</t>
        </is>
      </c>
      <c r="B13" s="36" t="n">
        <v>1200</v>
      </c>
      <c r="C13" s="45" t="n">
        <v>0.075</v>
      </c>
      <c r="D13" s="39">
        <f>B13*C13*$B$8</f>
        <v/>
      </c>
      <c r="E13" s="39">
        <f>B13*C13*$B$11</f>
        <v/>
      </c>
    </row>
    <row r="14">
      <c r="A14" s="44" t="inlineStr">
        <is>
          <t>Ceiling / roof</t>
        </is>
      </c>
      <c r="B14" s="36" t="n">
        <v>1800</v>
      </c>
      <c r="C14" s="45" t="n">
        <v>0.026</v>
      </c>
      <c r="D14" s="39">
        <f>B14*C14*$B$8</f>
        <v/>
      </c>
      <c r="E14" s="39">
        <f>B14*C14*$B$11</f>
        <v/>
      </c>
    </row>
    <row r="15">
      <c r="A15" s="44" t="inlineStr">
        <is>
          <t>Windows &amp; glass doors</t>
        </is>
      </c>
      <c r="B15" s="36" t="n">
        <v>200</v>
      </c>
      <c r="C15" s="45" t="n">
        <v>0.32</v>
      </c>
      <c r="D15" s="39">
        <f>B15*C15*$B$8</f>
        <v/>
      </c>
      <c r="E15" s="39">
        <f>B15*C15*$B$11</f>
        <v/>
      </c>
    </row>
    <row r="16">
      <c r="A16" s="44" t="inlineStr">
        <is>
          <t>Floor (heating only - ground-coupled)</t>
        </is>
      </c>
      <c r="B16" s="36" t="n">
        <v>1800</v>
      </c>
      <c r="C16" s="45" t="n">
        <v>0.04</v>
      </c>
      <c r="D16" s="39">
        <f>B16*C16*$B$8</f>
        <v/>
      </c>
      <c r="E16" s="39" t="n">
        <v>0</v>
      </c>
    </row>
    <row r="17">
      <c r="A17" s="9" t="inlineStr">
        <is>
          <t>House floor area (sq ft, for infiltration volume)</t>
        </is>
      </c>
      <c r="B17" s="36" t="n">
        <v>1800</v>
      </c>
    </row>
    <row r="18">
      <c r="A18" s="9" t="inlineStr">
        <is>
          <t>Ceiling height (ft)</t>
        </is>
      </c>
      <c r="B18" s="73" t="n">
        <v>8</v>
      </c>
    </row>
    <row r="19">
      <c r="A19" s="9" t="inlineStr">
        <is>
          <t>House volume (cu ft)</t>
        </is>
      </c>
      <c r="B19" s="39">
        <f>B17*B18</f>
        <v/>
      </c>
    </row>
    <row r="20">
      <c r="A20" s="9" t="inlineStr">
        <is>
          <t>Air changes per hour - ACH</t>
        </is>
      </c>
      <c r="B20" s="45" t="n">
        <v>0.5</v>
      </c>
      <c r="C20" s="69" t="inlineStr">
        <is>
          <t>0.35 tight new work - 0.5 average - 0.75 leaky - 1.0+ old and drafty.</t>
        </is>
      </c>
    </row>
    <row r="21">
      <c r="A21" s="9" t="inlineStr">
        <is>
          <t>Infiltration airflow (cfm)</t>
        </is>
      </c>
      <c r="B21" s="75">
        <f>B20*B19/60</f>
        <v/>
      </c>
    </row>
    <row r="22">
      <c r="A22" s="9" t="inlineStr">
        <is>
          <t>Infiltration load - heating (Btu/h)</t>
        </is>
      </c>
      <c r="B22" s="39">
        <f>1.08*B21*B8</f>
        <v/>
      </c>
    </row>
    <row r="23">
      <c r="A23" s="9" t="inlineStr">
        <is>
          <t>Infiltration load - cooling, sensible (Btu/h)</t>
        </is>
      </c>
      <c r="B23" s="39">
        <f>1.08*B21*B11</f>
        <v/>
      </c>
    </row>
    <row r="24">
      <c r="A24" s="9" t="inlineStr">
        <is>
          <t>Solar gain factor (Btu/h per sq ft of glass)</t>
        </is>
      </c>
      <c r="B24" s="36" t="n">
        <v>25</v>
      </c>
      <c r="C24" s="69" t="inlineStr">
        <is>
          <t>25 is a mixed-direction average with interior shades; a big west wall of glass can run 40+.</t>
        </is>
      </c>
    </row>
    <row r="25">
      <c r="A25" s="9" t="inlineStr">
        <is>
          <t>Solar gain through glass - cooling (Btu/h)</t>
        </is>
      </c>
      <c r="B25" s="39">
        <f>B15*B24</f>
        <v/>
      </c>
    </row>
    <row r="26">
      <c r="A26" s="9" t="inlineStr">
        <is>
          <t>Humidity difference (grains of moisture)</t>
        </is>
      </c>
      <c r="B26" s="36" t="n">
        <v>25</v>
      </c>
    </row>
    <row r="27">
      <c r="A27" s="9" t="inlineStr">
        <is>
          <t>Latent load - cooling (Btu/h)</t>
        </is>
      </c>
      <c r="B27" s="39">
        <f>0.68*B21*B26</f>
        <v/>
      </c>
    </row>
    <row r="28">
      <c r="A28" s="9" t="inlineStr">
        <is>
          <t>People in the house</t>
        </is>
      </c>
      <c r="B28" s="36" t="n">
        <v>4</v>
      </c>
    </row>
    <row r="29">
      <c r="A29" s="9" t="inlineStr">
        <is>
          <t>People gain - cooling (Btu/h)</t>
        </is>
      </c>
      <c r="B29" s="39">
        <f>B28*230</f>
        <v/>
      </c>
    </row>
    <row r="30">
      <c r="A30" s="9" t="inlineStr">
        <is>
          <t>Lights &amp; appliances gain - cooling (Btu/h)</t>
        </is>
      </c>
      <c r="B30" s="36" t="n">
        <v>1200</v>
      </c>
    </row>
    <row r="31">
      <c r="A31" s="14" t="inlineStr">
        <is>
          <t>ESTIMATED HEATING LOAD (Btu/h)</t>
        </is>
      </c>
      <c r="B31" s="46">
        <f>SUM(D13:D16)+B22</f>
        <v/>
      </c>
    </row>
    <row r="32">
      <c r="A32" s="14" t="inlineStr">
        <is>
          <t>ESTIMATED COOLING LOAD (Btu/h)</t>
        </is>
      </c>
      <c r="B32" s="46">
        <f>SUM(E13:E16)+B23+B25+B27+B29+B30</f>
        <v/>
      </c>
    </row>
    <row r="33">
      <c r="A33" s="9" t="inlineStr">
        <is>
          <t>Cooling load (tons)</t>
        </is>
      </c>
      <c r="B33" s="38">
        <f>B32/12000</f>
        <v/>
      </c>
    </row>
    <row r="34">
      <c r="A34" s="14" t="inlineStr">
        <is>
          <t>Closest nominal cooling size (tons)</t>
        </is>
      </c>
      <c r="B34" s="78">
        <f>IF(B33&gt;MAX($A$73:$A$79),"Over 5 tons",INDEX($A$73:$A$79,SUMPRODUCT(--($A$73:$A$79&lt;B33))+1))</f>
        <v/>
      </c>
    </row>
    <row r="35">
      <c r="A35" s="9" t="inlineStr">
        <is>
          <t>Furnace efficiency for input sizing - AFUE</t>
        </is>
      </c>
      <c r="B35" s="70" t="n">
        <v>0.92</v>
      </c>
    </row>
    <row r="36">
      <c r="A36" s="9" t="inlineStr">
        <is>
          <t>Furnace input needed (Btu/h)</t>
        </is>
      </c>
      <c r="B36" s="39">
        <f>IF(B35&gt;0,B31/B35,0)</f>
        <v/>
      </c>
    </row>
    <row r="37">
      <c r="A37" s="14" t="inlineStr">
        <is>
          <t>Common furnace size at or above that (Btu/h input)</t>
        </is>
      </c>
      <c r="B37" s="46">
        <f>IF(B36&gt;MAX($A$83:$A$87),"Over 120,000",INDEX($A$83:$A$87,SUMPRODUCT(--($A$83:$A$87&lt;B36))+1))</f>
        <v/>
      </c>
    </row>
    <row r="38">
      <c r="A38" s="69" t="inlineStr">
        <is>
          <t>U-factor quick guide: walls - 2x4 R-13 about 0.075, 2x6 R-19 about 0.055, uninsulated frame about 0.20; ceiling - R-30 0.033, R-38 0.026, R-49 0.020; windows - single pane 1.0, double 0.50, double low-e 0.32, triple 0.25; floor over unheated space - R-19 floor 0.05, uninsulated 0.09; the 0.040 floor default treats a slab or insulated floor. This method prices every surface at the full temperature difference and skips Manual J's credits and per-room breakdown - that is exactly why it is an estimate.</t>
        </is>
      </c>
    </row>
    <row r="40" ht="20" customHeight="1">
      <c r="A40" s="35" t="inlineStr">
        <is>
          <t>2 - REFRIGERANT CHARGE BY WEIGHT - line-set adjustment</t>
        </is>
      </c>
    </row>
    <row r="41">
      <c r="A41" s="9" t="inlineStr">
        <is>
          <t>Nameplate charge (lb)</t>
        </is>
      </c>
      <c r="B41" s="36" t="n">
        <v>8</v>
      </c>
      <c r="C41" s="69" t="inlineStr">
        <is>
          <t>Off the unit's rating plate or install manual.</t>
        </is>
      </c>
    </row>
    <row r="42">
      <c r="A42" s="9" t="inlineStr">
        <is>
          <t>Nameplate charge (oz, the part under a pound)</t>
        </is>
      </c>
      <c r="B42" s="36" t="n">
        <v>4</v>
      </c>
    </row>
    <row r="43">
      <c r="A43" s="9" t="inlineStr">
        <is>
          <t>Nameplate charge (total oz)</t>
        </is>
      </c>
      <c r="B43" s="39">
        <f>B41*16+B42</f>
        <v/>
      </c>
    </row>
    <row r="44">
      <c r="A44" s="9" t="inlineStr">
        <is>
          <t>Line length the factory charge covers (ft)</t>
        </is>
      </c>
      <c r="B44" s="36" t="n">
        <v>15</v>
      </c>
      <c r="C44" s="69" t="inlineStr">
        <is>
          <t>Often 15 ft - the install manual for your unit is the authority.</t>
        </is>
      </c>
    </row>
    <row r="45">
      <c r="A45" s="9" t="inlineStr">
        <is>
          <t>Actual line-set length (ft)</t>
        </is>
      </c>
      <c r="B45" s="36" t="n">
        <v>35</v>
      </c>
    </row>
    <row r="46">
      <c r="A46" s="9" t="inlineStr">
        <is>
          <t>Liquid line size</t>
        </is>
      </c>
      <c r="B46" s="37" t="inlineStr">
        <is>
          <t>3/8″</t>
        </is>
      </c>
    </row>
    <row r="47">
      <c r="A47" s="9" t="inlineStr">
        <is>
          <t>Charge factor (oz per ft of liquid line)</t>
        </is>
      </c>
      <c r="B47" s="38">
        <f>IF(B46="1/4″",0.3,IF(B46="5/16″",0.45,IF(B46="3/8″",0.6,1.2)))</f>
        <v/>
      </c>
      <c r="C47" s="69" t="inlineStr">
        <is>
          <t>Typical manufacturer table values for R-410A liquid lines.</t>
        </is>
      </c>
    </row>
    <row r="48">
      <c r="A48" s="9" t="inlineStr">
        <is>
          <t>Charge adjustment (oz)</t>
        </is>
      </c>
      <c r="B48" s="75">
        <f>(B45-B44)*B47</f>
        <v/>
      </c>
      <c r="C48" s="69" t="inlineStr">
        <is>
          <t>Negative on a short run - many manuals say leave small shortages in; check yours.</t>
        </is>
      </c>
    </row>
    <row r="49">
      <c r="A49" s="14" t="inlineStr">
        <is>
          <t>TOTAL CHARGE (oz)</t>
        </is>
      </c>
      <c r="B49" s="78">
        <f>B43+B48</f>
        <v/>
      </c>
    </row>
    <row r="50">
      <c r="A50" s="14" t="inlineStr">
        <is>
          <t>TOTAL CHARGE (lb and oz)</t>
        </is>
      </c>
      <c r="B50" s="47">
        <f>INT(B49/16)&amp;" lb "&amp;TEXT(MOD(B49,16),"0.0")&amp;" oz"</f>
        <v/>
      </c>
    </row>
    <row r="51">
      <c r="A51" s="69" t="inlineStr">
        <is>
          <t>Standard method from the installation manual: the nameplate charge covers the outdoor unit, the matched indoor coil and a standard length of line set. Longer line sets need the per-foot addition above; weigh the charge in on a scale - do not guess by pressure on a weigh-in job. Superheat / subcool trim still follows the manual afterward.</t>
        </is>
      </c>
    </row>
    <row r="53" ht="20" customHeight="1">
      <c r="A53" s="35" t="inlineStr">
        <is>
          <t>3 - VENTILATION - ASHRAE 62.2 whole-building rate</t>
        </is>
      </c>
    </row>
    <row r="54">
      <c r="A54" s="9" t="inlineStr">
        <is>
          <t>Floor area (sq ft)</t>
        </is>
      </c>
      <c r="B54" s="36" t="n">
        <v>1800</v>
      </c>
    </row>
    <row r="55">
      <c r="A55" s="9" t="inlineStr">
        <is>
          <t>Bedrooms</t>
        </is>
      </c>
      <c r="B55" s="36" t="n">
        <v>3</v>
      </c>
    </row>
    <row r="56">
      <c r="A56" s="14" t="inlineStr">
        <is>
          <t>Ventilation rate - 62.2, 2016 and newer (cfm)</t>
        </is>
      </c>
      <c r="B56" s="46">
        <f>0.03*B54+7.5*(B55+1)</f>
        <v/>
      </c>
      <c r="C56" s="69" t="inlineStr">
        <is>
          <t>0.03 cfm per sq ft + 7.5 cfm per (bedrooms + 1).</t>
        </is>
      </c>
    </row>
    <row r="57">
      <c r="A57" s="9" t="inlineStr">
        <is>
          <t>Ventilation rate - 62.2, 2010 edition (cfm)</t>
        </is>
      </c>
      <c r="B57" s="39">
        <f>0.01*B54+7.5*(B55+1)</f>
        <v/>
      </c>
      <c r="C57" s="69" t="inlineStr">
        <is>
          <t>The older formula used 0.01 cfm per sq ft - shown so you can match the edition your area adopted.</t>
        </is>
      </c>
    </row>
    <row r="58">
      <c r="A58" s="69" t="inlineStr">
        <is>
          <t>Whole-building mechanical ventilation from ASHRAE 62.2 Table 4.1a. Local exhaust is separate: kitchen 100 cfm intermittent, bath 50 cfm intermittent or 20 cfm continuous (62.2 Table 5.1). The standard also has infiltration credits and fan flow-rating rules - this is the headline rate.</t>
        </is>
      </c>
    </row>
    <row r="60" ht="20" customHeight="1">
      <c r="A60" s="35" t="inlineStr">
        <is>
          <t>4 - AFUE COMPARISON - what the efficiency upgrade saves</t>
        </is>
      </c>
    </row>
    <row r="61">
      <c r="A61" s="9" t="inlineStr">
        <is>
          <t>Current equipment AFUE</t>
        </is>
      </c>
      <c r="B61" s="70" t="n">
        <v>0.8</v>
      </c>
    </row>
    <row r="62">
      <c r="A62" s="9" t="inlineStr">
        <is>
          <t>New equipment AFUE</t>
        </is>
      </c>
      <c r="B62" s="70" t="n">
        <v>0.96</v>
      </c>
    </row>
    <row r="63">
      <c r="A63" s="9" t="inlineStr">
        <is>
          <t>Annual fuel spend on heating ($)</t>
        </is>
      </c>
      <c r="B63" s="51" t="n">
        <v>2400</v>
      </c>
      <c r="C63" s="69" t="inlineStr">
        <is>
          <t>From last year's fuel bills - heating fuel only.</t>
        </is>
      </c>
    </row>
    <row r="64">
      <c r="A64" s="9" t="inlineStr">
        <is>
          <t>Extra cost of the higher-efficiency unit ($)</t>
        </is>
      </c>
      <c r="B64" s="51" t="n">
        <v>2800</v>
      </c>
    </row>
    <row r="65">
      <c r="A65" s="9" t="inlineStr">
        <is>
          <t>Fuel cost with the new unit ($/yr)</t>
        </is>
      </c>
      <c r="B65" s="71">
        <f>IF(B62&gt;0,B63*B61/B62,0)</f>
        <v/>
      </c>
    </row>
    <row r="66">
      <c r="A66" s="14" t="inlineStr">
        <is>
          <t>ANNUAL SAVINGS</t>
        </is>
      </c>
      <c r="B66" s="52">
        <f>B63-B65</f>
        <v/>
      </c>
    </row>
    <row r="67">
      <c r="A67" s="9" t="inlineStr">
        <is>
          <t>Simple payback on the extra cost (years)</t>
        </is>
      </c>
      <c r="B67" s="75">
        <f>IF(B66&gt;0,B64/B66,"—")</f>
        <v/>
      </c>
    </row>
    <row r="68">
      <c r="A68" s="9" t="inlineStr">
        <is>
          <t>Savings over 10 years</t>
        </is>
      </c>
      <c r="B68" s="71">
        <f>B66*10</f>
        <v/>
      </c>
    </row>
    <row r="69">
      <c r="A69" s="69" t="inlineStr">
        <is>
          <t>Same heat from less fuel: new fuel cost = old cost x (old AFUE / new AFUE). Works for furnaces and boilers on any fuel, as long as the spend you type is heating fuel only. It does not price maintenance, repairs or the comfort difference - it is the fuel line, honestly drawn.</t>
        </is>
      </c>
    </row>
    <row r="71">
      <c r="A71" s="14" t="inlineStr">
        <is>
          <t>Reference - nominal cooling sizes (tons)</t>
        </is>
      </c>
    </row>
    <row r="72">
      <c r="A72" s="14" t="inlineStr">
        <is>
          <t>Size (tons)</t>
        </is>
      </c>
    </row>
    <row r="73">
      <c r="A73" s="75" t="n">
        <v>1.5</v>
      </c>
    </row>
    <row r="74">
      <c r="A74" s="75" t="n">
        <v>2</v>
      </c>
    </row>
    <row r="75">
      <c r="A75" s="75" t="n">
        <v>2.5</v>
      </c>
    </row>
    <row r="76">
      <c r="A76" s="75" t="n">
        <v>3</v>
      </c>
    </row>
    <row r="77">
      <c r="A77" s="75" t="n">
        <v>3.5</v>
      </c>
    </row>
    <row r="78">
      <c r="A78" s="75" t="n">
        <v>4</v>
      </c>
    </row>
    <row r="79">
      <c r="A79" s="75" t="n">
        <v>5</v>
      </c>
    </row>
    <row r="81">
      <c r="A81" s="14" t="inlineStr">
        <is>
          <t>Reference - common furnace input sizes (Btu/h)</t>
        </is>
      </c>
    </row>
    <row r="82">
      <c r="A82" s="14" t="inlineStr">
        <is>
          <t>Size (Btu/h)</t>
        </is>
      </c>
    </row>
    <row r="83">
      <c r="A83" s="39" t="n">
        <v>40000</v>
      </c>
    </row>
    <row r="84">
      <c r="A84" s="39" t="n">
        <v>60000</v>
      </c>
    </row>
    <row r="85">
      <c r="A85" s="39" t="n">
        <v>80000</v>
      </c>
    </row>
    <row r="86">
      <c r="A86" s="39" t="n">
        <v>100000</v>
      </c>
    </row>
    <row r="87">
      <c r="A87" s="39" t="n">
        <v>120000</v>
      </c>
    </row>
    <row r="89">
      <c r="A89" s="69" t="inlineStr">
        <is>
          <t>Sources: simplified UA-plus-infiltration method in the spirit of ACCA Manual J (full Manual J required for final sizing); line-charge factors from manufacturer installation manuals (typical R-410A values); ASHRAE Standard 62.2 Tables 4.1a and 5.1; AFUE savings relationship per U.S. DOE guidance.</t>
        </is>
      </c>
    </row>
  </sheetData>
  <mergeCells count="12">
    <mergeCell ref="A38:F38"/>
    <mergeCell ref="A2:F2"/>
    <mergeCell ref="A51:F51"/>
    <mergeCell ref="A60:F60"/>
    <mergeCell ref="A1:F1"/>
    <mergeCell ref="A5:F5"/>
    <mergeCell ref="A89:F89"/>
    <mergeCell ref="A58:F58"/>
    <mergeCell ref="A40:F40"/>
    <mergeCell ref="A4:F4"/>
    <mergeCell ref="A53:F53"/>
    <mergeCell ref="A69:F69"/>
  </mergeCells>
  <dataValidations count="1">
    <dataValidation sqref="B46" showDropDown="0" showInputMessage="0" showErrorMessage="0" allowBlank="0" type="list">
      <formula1>"1/4″,5/16″,3/8″,1/2″"</formula1>
    </dataValidation>
  </dataValidations>
  <pageMargins left="0.75" right="0.75" top="1" bottom="1" header="0.5" footer="0.5"/>
  <pageSetup orientation="portrait" fitToWidth="1"/>
  <headerFooter>
    <oddHeader>&amp;C&amp;11 Highway 38 Solutions</oddHeader>
    <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E40"/>
  <sheetViews>
    <sheetView workbookViewId="0">
      <selection activeCell="A1" sqref="A1"/>
    </sheetView>
  </sheetViews>
  <sheetFormatPr baseColWidth="8" defaultRowHeight="15"/>
  <cols>
    <col width="44" customWidth="1" min="1" max="1"/>
    <col width="10" customWidth="1" min="2" max="2"/>
    <col width="13" customWidth="1" min="3" max="3"/>
    <col width="16" customWidth="1" min="4" max="4"/>
    <col width="32" customWidth="1" min="5" max="5"/>
  </cols>
  <sheetData>
    <row r="1" ht="24" customHeight="1">
      <c r="A1" s="6" t="inlineStr">
        <is>
          <t>HVAC QUOTE - Job bid worksheet</t>
        </is>
      </c>
    </row>
    <row r="2">
      <c r="A2" s="7" t="inlineStr">
        <is>
          <t>Same math as the Job Bid Pricer on the Standard sheet - labor, materials with markup, and other costs, then overhead, then profit - laid out on the lines this trade actually writes up. Example lines are prefilled; replace quantities, hours and costs with the real job.</t>
        </is>
      </c>
    </row>
    <row r="4">
      <c r="A4" s="14" t="inlineStr">
        <is>
          <t>Customer name:</t>
        </is>
      </c>
      <c r="B4" s="23" t="n"/>
      <c r="C4" s="53" t="n"/>
      <c r="D4" s="53" t="n"/>
      <c r="E4" s="54" t="n"/>
    </row>
    <row r="5">
      <c r="A5" s="14" t="inlineStr">
        <is>
          <t>Job / address:</t>
        </is>
      </c>
      <c r="B5" s="23" t="n"/>
      <c r="C5" s="53" t="n"/>
      <c r="D5" s="53" t="n"/>
      <c r="E5" s="54" t="n"/>
    </row>
    <row r="6">
      <c r="A6" s="14" t="inlineStr">
        <is>
          <t>Date:</t>
        </is>
      </c>
      <c r="B6" s="23" t="n"/>
      <c r="C6" s="53" t="n"/>
      <c r="D6" s="53" t="n"/>
      <c r="E6" s="54" t="n"/>
    </row>
    <row r="7">
      <c r="A7" s="14" t="inlineStr">
        <is>
          <t>Quote #:</t>
        </is>
      </c>
      <c r="B7" s="23" t="n"/>
      <c r="C7" s="53" t="n"/>
      <c r="D7" s="53" t="n"/>
      <c r="E7" s="54" t="n"/>
    </row>
    <row r="8">
      <c r="A8" s="14" t="inlineStr">
        <is>
          <t>Labor cost per hour ($, wage + burden)</t>
        </is>
      </c>
      <c r="B8" s="11" t="n">
        <v>60</v>
      </c>
    </row>
    <row r="10">
      <c r="A10" s="34" t="inlineStr">
        <is>
          <t>LABOR - work lines</t>
        </is>
      </c>
      <c r="B10" s="34" t="inlineStr">
        <is>
          <t>Qty</t>
        </is>
      </c>
      <c r="C10" s="34" t="inlineStr">
        <is>
          <t>Hrs each</t>
        </is>
      </c>
      <c r="D10" s="34" t="inlineStr">
        <is>
          <t>Labor ($)</t>
        </is>
      </c>
      <c r="E10" s="34" t="inlineStr">
        <is>
          <t>Notes</t>
        </is>
      </c>
    </row>
    <row r="11">
      <c r="A11" s="30" t="inlineStr">
        <is>
          <t>Furnace tune-up</t>
        </is>
      </c>
      <c r="B11" s="18" t="n">
        <v>1</v>
      </c>
      <c r="C11" s="27" t="n">
        <v>1</v>
      </c>
      <c r="D11" s="13">
        <f>B11*C11*$B$8</f>
        <v/>
      </c>
      <c r="E11" s="24" t="inlineStr"/>
    </row>
    <row r="12">
      <c r="A12" s="30" t="inlineStr">
        <is>
          <t>AC tune-up</t>
        </is>
      </c>
      <c r="B12" s="18" t="n">
        <v>0</v>
      </c>
      <c r="C12" s="27" t="n">
        <v>1</v>
      </c>
      <c r="D12" s="13">
        <f>B12*C12*$B$8</f>
        <v/>
      </c>
      <c r="E12" s="24" t="inlineStr"/>
    </row>
    <row r="13">
      <c r="A13" s="30" t="inlineStr">
        <is>
          <t>Smart thermostat install</t>
        </is>
      </c>
      <c r="B13" s="18" t="n">
        <v>1</v>
      </c>
      <c r="C13" s="27" t="n">
        <v>0.75</v>
      </c>
      <c r="D13" s="13">
        <f>B13*C13*$B$8</f>
        <v/>
      </c>
      <c r="E13" s="24" t="inlineStr"/>
    </row>
    <row r="14">
      <c r="A14" s="30" t="inlineStr">
        <is>
          <t>Humidifier install</t>
        </is>
      </c>
      <c r="B14" s="18" t="n">
        <v>0</v>
      </c>
      <c r="C14" s="27" t="n">
        <v>2</v>
      </c>
      <c r="D14" s="13">
        <f>B14*C14*$B$8</f>
        <v/>
      </c>
      <c r="E14" s="24" t="inlineStr">
        <is>
          <t>Qty 0 - set it when the job needs it</t>
        </is>
      </c>
    </row>
    <row r="15">
      <c r="A15" s="30" t="inlineStr">
        <is>
          <t>Furnace replacement</t>
        </is>
      </c>
      <c r="B15" s="18" t="n">
        <v>0</v>
      </c>
      <c r="C15" s="27" t="n">
        <v>8</v>
      </c>
      <c r="D15" s="13">
        <f>B15*C15*$B$8</f>
        <v/>
      </c>
      <c r="E15" s="24" t="inlineStr"/>
    </row>
    <row r="16">
      <c r="A16" s="30" t="inlineStr">
        <is>
          <t>AC condenser replacement</t>
        </is>
      </c>
      <c r="B16" s="18" t="n">
        <v>0</v>
      </c>
      <c r="C16" s="27" t="n">
        <v>6</v>
      </c>
      <c r="D16" s="13">
        <f>B16*C16*$B$8</f>
        <v/>
      </c>
      <c r="E16" s="24" t="inlineStr"/>
    </row>
    <row r="17">
      <c r="A17" s="14" t="inlineStr">
        <is>
          <t>Labor subtotal</t>
        </is>
      </c>
      <c r="C17" s="22">
        <f>SUMPRODUCT($B$11:$B$16,$C$11:$C$16)</f>
        <v/>
      </c>
      <c r="D17" s="15">
        <f>SUM($D$11:$D$16)</f>
        <v/>
      </c>
    </row>
    <row r="19">
      <c r="A19" s="34" t="inlineStr">
        <is>
          <t>MATERIALS</t>
        </is>
      </c>
      <c r="B19" s="34" t="inlineStr">
        <is>
          <t>Qty</t>
        </is>
      </c>
      <c r="C19" s="34" t="inlineStr">
        <is>
          <t>Cost each ($)</t>
        </is>
      </c>
      <c r="D19" s="34" t="inlineStr">
        <is>
          <t>Line cost ($)</t>
        </is>
      </c>
      <c r="E19" s="34" t="inlineStr">
        <is>
          <t>Notes</t>
        </is>
      </c>
    </row>
    <row r="20">
      <c r="A20" s="30" t="inlineStr">
        <is>
          <t>Filters (case)</t>
        </is>
      </c>
      <c r="B20" s="18" t="n">
        <v>1</v>
      </c>
      <c r="C20" s="11" t="n">
        <v>42</v>
      </c>
      <c r="D20" s="13">
        <f>B20*C20</f>
        <v/>
      </c>
      <c r="E20" s="24" t="inlineStr"/>
    </row>
    <row r="21">
      <c r="A21" s="30" t="inlineStr">
        <is>
          <t>Smart thermostat</t>
        </is>
      </c>
      <c r="B21" s="18" t="n">
        <v>1</v>
      </c>
      <c r="C21" s="11" t="n">
        <v>180</v>
      </c>
      <c r="D21" s="13">
        <f>B21*C21</f>
        <v/>
      </c>
      <c r="E21" s="24" t="inlineStr"/>
    </row>
    <row r="22">
      <c r="A22" s="30" t="inlineStr">
        <is>
          <t>Refrigerant &amp; supplies</t>
        </is>
      </c>
      <c r="B22" s="18" t="n">
        <v>1</v>
      </c>
      <c r="C22" s="11" t="n">
        <v>65</v>
      </c>
      <c r="D22" s="13">
        <f>B22*C22</f>
        <v/>
      </c>
      <c r="E22" s="24" t="inlineStr"/>
    </row>
    <row r="23">
      <c r="A23" s="30" t="inlineStr">
        <is>
          <t>Sheet metal &amp; fittings</t>
        </is>
      </c>
      <c r="B23" s="18" t="n">
        <v>1</v>
      </c>
      <c r="C23" s="11" t="n">
        <v>30</v>
      </c>
      <c r="D23" s="13">
        <f>B23*C23</f>
        <v/>
      </c>
      <c r="E23" s="24" t="inlineStr"/>
    </row>
    <row r="24">
      <c r="A24" s="14" t="inlineStr">
        <is>
          <t>Materials subtotal</t>
        </is>
      </c>
      <c r="D24" s="15">
        <f>SUM($D$20:$D$23)</f>
        <v/>
      </c>
    </row>
    <row r="25">
      <c r="A25" s="9" t="inlineStr">
        <is>
          <t>Materials markup</t>
        </is>
      </c>
      <c r="B25" s="12" t="n">
        <v>0.2</v>
      </c>
    </row>
    <row r="26">
      <c r="A26" s="9" t="inlineStr">
        <is>
          <t>Materials (with markup)</t>
        </is>
      </c>
      <c r="D26" s="13">
        <f>D24*(1+B25)</f>
        <v/>
      </c>
    </row>
    <row r="28" ht="20" customHeight="1">
      <c r="A28" s="8" t="inlineStr">
        <is>
          <t>BID ROLLUP - the Job Bid Pricer math</t>
        </is>
      </c>
    </row>
    <row r="29">
      <c r="A29" s="9" t="inlineStr">
        <is>
          <t>Service call / diagnostic (flat $)</t>
        </is>
      </c>
      <c r="B29" s="11" t="n">
        <v>99</v>
      </c>
    </row>
    <row r="30">
      <c r="A30" s="9" t="inlineStr">
        <is>
          <t>Subs, rentals &amp; permits ($)</t>
        </is>
      </c>
      <c r="B30" s="11" t="n">
        <v>0</v>
      </c>
    </row>
    <row r="31">
      <c r="A31" s="9" t="inlineStr">
        <is>
          <t>Direct costs (labor + materials + service + subs)</t>
        </is>
      </c>
      <c r="B31" s="13">
        <f>D17+D26+B29+B30</f>
        <v/>
      </c>
    </row>
    <row r="32">
      <c r="A32" s="9" t="inlineStr">
        <is>
          <t>Overhead on the job</t>
        </is>
      </c>
      <c r="B32" s="12" t="n">
        <v>0.1</v>
      </c>
    </row>
    <row r="33">
      <c r="A33" s="9" t="inlineStr">
        <is>
          <t>Overhead amount</t>
        </is>
      </c>
      <c r="B33" s="13">
        <f>B31*B32</f>
        <v/>
      </c>
    </row>
    <row r="34">
      <c r="A34" s="9" t="inlineStr">
        <is>
          <t>Profit markup</t>
        </is>
      </c>
      <c r="B34" s="12" t="n">
        <v>0.15</v>
      </c>
    </row>
    <row r="35">
      <c r="A35" s="9" t="inlineStr">
        <is>
          <t>Profit amount</t>
        </is>
      </c>
      <c r="B35" s="13">
        <f>(B31+B33)*B34</f>
        <v/>
      </c>
    </row>
    <row r="36">
      <c r="A36" s="14" t="inlineStr">
        <is>
          <t>BID TOTAL</t>
        </is>
      </c>
      <c r="B36" s="15">
        <f>B31+B33+B35</f>
        <v/>
      </c>
    </row>
    <row r="37">
      <c r="A37" s="9" t="inlineStr">
        <is>
          <t>Gross margin on the bid</t>
        </is>
      </c>
      <c r="B37" s="16">
        <f>IF(B36&gt;0,B35/B36,0)</f>
        <v/>
      </c>
    </row>
    <row r="39">
      <c r="A39" s="17" t="inlineStr">
        <is>
          <t>Quote is valid for 30 days unless you write otherwise here. Lines with qty 0 are common add-ons for this trade - set the qty when the job needs them. Cross-check any quote against the Job Bid Pricer on the Standard sheet: same total hours, rate, materials and percents must give the same bid.</t>
        </is>
      </c>
    </row>
    <row r="40"/>
  </sheetData>
  <mergeCells count="8">
    <mergeCell ref="A39:E40"/>
    <mergeCell ref="B4:E4"/>
    <mergeCell ref="A2:E2"/>
    <mergeCell ref="A28:E28"/>
    <mergeCell ref="B6:E6"/>
    <mergeCell ref="B7:E7"/>
    <mergeCell ref="A1:E1"/>
    <mergeCell ref="B5:E5"/>
  </mergeCells>
  <printOptions horizontalCentered="1"/>
  <pageMargins left="0.75" right="0.75" top="1" bottom="1" header="0.5" footer="0.5"/>
  <pageSetup orientation="landscape" fitToWidth="1"/>
  <headerFooter>
    <oddHeader>&amp;C&amp;11 Highway 38 Solutions</oddHeader>
    <oddFooter/>
    <evenHeader>&amp;C&amp;11 Highway 38 Solutions</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Highway 38 Solutions</dc:creator>
  <dc:title xmlns:dc="http://purl.org/dc/elements/1.1/">H38 Contractor Calc - Highway 38 Solutions</dc:title>
  <dcterms:created xmlns:dcterms="http://purl.org/dc/terms/" xmlns:xsi="http://www.w3.org/2001/XMLSchema-instance" xsi:type="dcterms:W3CDTF">2026-10-25T21:36:25Z</dcterms:created>
  <dcterms:modified xmlns:dcterms="http://purl.org/dc/terms/" xmlns:xsi="http://www.w3.org/2001/XMLSchema-instance" xsi:type="dcterms:W3CDTF">2026-10-28T03:13:39+00:00Z</dcterms:modified>
</cp:coreProperties>
</file>