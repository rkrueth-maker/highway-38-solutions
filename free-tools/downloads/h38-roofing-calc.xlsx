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oo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#,##0.0"/>
    <numFmt numFmtId="167" formatCode="&quot;$&quot;#,##0.000"/>
    <numFmt numFmtId="168" formatCode="0.0000"/>
    <numFmt numFmtId="169" formatCode="0.000"/>
    <numFmt numFmtId="170" formatCode="0.0"/>
    <numFmt numFmtId="171" formatCode="&quot;$&quot;#,##0"/>
    <numFmt numFmtId="172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444444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2A4E"/>
      <sz val="11"/>
    </font>
    <font>
      <name val="Calibri"/>
      <b val="1"/>
      <color rgb="00FFFFFF"/>
      <sz val="14"/>
    </font>
    <font>
      <name val="Calibri"/>
      <b val="1"/>
      <color rgb="001B2A4E"/>
      <sz val="12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8">
    <border>
      <left/>
      <right/>
      <top/>
      <bottom/>
      <diagonal/>
    </border>
    <border>
      <left style="thin">
        <color rgb="00B0B8C5"/>
      </left>
      <right style="thin">
        <color rgb="00B0B8C5"/>
      </right>
      <top style="thin">
        <color rgb="00B0B8C5"/>
      </top>
      <bottom style="thin">
        <color rgb="00B0B8C5"/>
      </bottom>
    </border>
    <border>
      <left/>
      <right/>
      <top style="thin">
        <color rgb="00B0B8C5"/>
      </top>
      <bottom/>
      <diagonal/>
    </border>
    <border>
      <left/>
      <right style="thin">
        <color rgb="00B0B8C5"/>
      </right>
      <top style="thin">
        <color rgb="00B0B8C5"/>
      </top>
      <bottom/>
      <diagonal/>
    </border>
    <border>
      <left/>
      <right/>
      <top style="thin">
        <color rgb="00B0B8C5"/>
      </top>
      <bottom style="thin">
        <color rgb="00B0B8C5"/>
      </bottom>
      <diagonal/>
    </border>
    <border>
      <left/>
      <right style="thin">
        <color rgb="00B0B8C5"/>
      </right>
      <top style="thin">
        <color rgb="00B0B8C5"/>
      </top>
      <bottom style="thin">
        <color rgb="00B0B8C5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1" pivotButton="0" quotePrefix="0" xfId="0"/>
    <xf numFmtId="0" fontId="8" fillId="0" borderId="0" applyAlignment="1" pivotButton="0" quotePrefix="0" xfId="0">
      <alignment vertical="top" wrapText="1"/>
    </xf>
    <xf numFmtId="166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166" fontId="3" fillId="0" borderId="1" pivotButton="0" quotePrefix="0" xfId="0"/>
    <xf numFmtId="3" fontId="3" fillId="0" borderId="1" pivotButton="0" quotePrefix="0" xfId="0"/>
    <xf numFmtId="4" fontId="0" fillId="4" borderId="1" pivotButton="0" quotePrefix="0" xfId="0"/>
    <xf numFmtId="168" fontId="0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3" fontId="4" fillId="4" borderId="6" pivotButton="0" quotePrefix="0" xfId="0"/>
    <xf numFmtId="0" fontId="4" fillId="4" borderId="6" pivotButton="0" quotePrefix="0" xfId="0"/>
    <xf numFmtId="4" fontId="4" fillId="0" borderId="6" pivotButton="0" quotePrefix="0" xfId="0"/>
    <xf numFmtId="3" fontId="4" fillId="0" borderId="6" pivotButton="0" quotePrefix="0" xfId="0"/>
    <xf numFmtId="4" fontId="3" fillId="0" borderId="6" pivotButton="0" quotePrefix="0" xfId="0"/>
    <xf numFmtId="165" fontId="3" fillId="0" borderId="6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6" pivotButton="0" quotePrefix="0" xfId="0"/>
    <xf numFmtId="4" fontId="4" fillId="4" borderId="6" pivotButton="0" quotePrefix="0" xfId="0"/>
    <xf numFmtId="3" fontId="3" fillId="0" borderId="6" pivotButton="0" quotePrefix="0" xfId="0"/>
    <xf numFmtId="0" fontId="3" fillId="0" borderId="6" pivotButton="0" quotePrefix="0" xfId="0"/>
    <xf numFmtId="169" fontId="4" fillId="0" borderId="6" pivotButton="0" quotePrefix="0" xfId="0"/>
    <xf numFmtId="168" fontId="4" fillId="0" borderId="6" pivotButton="0" quotePrefix="0" xfId="0"/>
    <xf numFmtId="170" fontId="3" fillId="0" borderId="6" pivotButton="0" quotePrefix="0" xfId="0"/>
    <xf numFmtId="164" fontId="4" fillId="4" borderId="6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2" fillId="0" borderId="0" applyAlignment="1" pivotButton="0" quotePrefix="0" xfId="0">
      <alignment wrapText="1"/>
    </xf>
    <xf numFmtId="9" fontId="4" fillId="0" borderId="0" pivotButton="0" quotePrefix="0" xfId="0"/>
    <xf numFmtId="171" fontId="4" fillId="0" borderId="0" pivotButton="0" quotePrefix="0" xfId="0"/>
    <xf numFmtId="165" fontId="4" fillId="0" borderId="0" pivotButton="0" quotePrefix="0" xfId="0"/>
    <xf numFmtId="0" fontId="8" fillId="0" borderId="0" applyAlignment="1" pivotButton="0" quotePrefix="0" xfId="0">
      <alignment wrapText="1"/>
    </xf>
    <xf numFmtId="170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0" fontId="4" fillId="4" borderId="6" pivotButton="0" quotePrefix="0" xfId="0"/>
    <xf numFmtId="0" fontId="11" fillId="0" borderId="0" pivotButton="0" quotePrefix="0" xfId="0"/>
    <xf numFmtId="165" fontId="4" fillId="4" borderId="6" pivotButton="0" quotePrefix="0" xfId="0"/>
    <xf numFmtId="164" fontId="4" fillId="0" borderId="6" pivotButton="0" quotePrefix="0" xfId="0"/>
    <xf numFmtId="165" fontId="4" fillId="0" borderId="6" pivotButton="0" quotePrefix="0" xfId="0"/>
    <xf numFmtId="166" fontId="4" fillId="4" borderId="6" pivotButton="0" quotePrefix="0" xfId="0"/>
    <xf numFmtId="10" fontId="4" fillId="0" borderId="6" pivotButton="0" quotePrefix="0" xfId="0"/>
    <xf numFmtId="166" fontId="4" fillId="0" borderId="6" pivotButton="0" quotePrefix="0" xfId="0"/>
    <xf numFmtId="166" fontId="0" fillId="0" borderId="6" pivotButton="0" quotePrefix="0" xfId="0"/>
    <xf numFmtId="165" fontId="0" fillId="0" borderId="6" pivotButton="0" quotePrefix="0" xfId="0"/>
    <xf numFmtId="166" fontId="3" fillId="0" borderId="6" pivotButton="0" quotePrefix="0" xfId="0"/>
    <xf numFmtId="3" fontId="0" fillId="0" borderId="6" pivotButton="0" quotePrefix="0" xfId="0"/>
    <xf numFmtId="168" fontId="0" fillId="0" borderId="6" pivotButton="0" quotePrefix="0" xfId="0"/>
    <xf numFmtId="4" fontId="0" fillId="0" borderId="6" pivotButton="0" quotePrefix="0" xfId="0"/>
    <xf numFmtId="0" fontId="7" fillId="3" borderId="7" pivotButton="0" quotePrefix="0" xfId="0"/>
    <xf numFmtId="0" fontId="3" fillId="0" borderId="7" pivotButton="0" quotePrefix="0" xfId="0"/>
    <xf numFmtId="0" fontId="4" fillId="0" borderId="7" pivotButton="0" quotePrefix="0" xfId="0"/>
    <xf numFmtId="0" fontId="11" fillId="0" borderId="7" applyAlignment="1" pivotButton="0" quotePrefix="0" xfId="0">
      <alignment vertical="top" wrapText="1"/>
    </xf>
    <xf numFmtId="172" fontId="0" fillId="0" borderId="1" pivotButton="0" quotePrefix="0" xfId="0"/>
    <xf numFmtId="172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H38 ROOFING CALC</t>
        </is>
      </c>
    </row>
    <row r="2">
      <c r="A2" s="2" t="inlineStr">
        <is>
          <t>By Highway 38 Solutions  -  The Roofing sheet from the H38 Contractor Calc, in a book of its own</t>
        </is>
      </c>
    </row>
    <row r="3"/>
    <row r="4" ht="42" customHeight="1">
      <c r="A4" s="3" t="inlineStr">
        <is>
          <t>What this is</t>
        </is>
      </c>
      <c r="B4" s="4" t="inlineStr">
        <is>
          <t>The Roofing sheet from the H38 Contractor Calc workbook, as a book you keep - roof area and squares for a plain gable, shingle bundles, and a quick reference for pitch multipliers &amp; angles.</t>
        </is>
      </c>
    </row>
    <row r="5" ht="42" customHeight="1">
      <c r="A5" s="3" t="inlineStr">
        <is>
          <t>Start in this order</t>
        </is>
      </c>
      <c r="B5" s="4" t="inlineStr">
        <is>
          <t>1) Roofing - from the footprint and the pitch to the squares on the roof and the bundles on the order. One sheet - the tools run top to bottom.</t>
        </is>
      </c>
    </row>
    <row r="6" ht="42" customHeight="1">
      <c r="A6" s="3" t="inlineStr">
        <is>
          <t>Yellow cells</t>
        </is>
      </c>
      <c r="B6" s="4" t="inlineStr">
        <is>
          <t>Yellow = you type here. White / grey cells are formulas - don't type over them, or that calculation will stop working. Percent cells: type them as percents (20%), not decimals.</t>
        </is>
      </c>
    </row>
    <row r="7" ht="42" customHeight="1">
      <c r="A7" s="3" t="inlineStr">
        <is>
          <t>Example data</t>
        </is>
      </c>
      <c r="B7" s="4" t="inlineStr">
        <is>
          <t>Every calculator opens with the same example numbers as the web app, so the two match side by side. Replace them with your shop's real numbers before quoting a customer.</t>
        </is>
      </c>
    </row>
    <row r="8" ht="42" customHeight="1">
      <c r="A8" s="3" t="inlineStr">
        <is>
          <t>Estimates only</t>
        </is>
      </c>
      <c r="B8" s="4" t="inlineStr">
        <is>
          <t>Results are estimates for planning and quoting conversations - verify load calculations, code requirements, and tax figures against the governing standard (Manual J, the NEC, IRS publications) and your own books before you build, bid, or file on them.</t>
        </is>
      </c>
    </row>
    <row r="9"/>
    <row r="10">
      <c r="A10" s="5" t="inlineStr">
        <is>
          <t>Sheets:  Roofing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2:B2"/>
    <mergeCell ref="A10:B10"/>
    <mergeCell ref="A1:B1"/>
  </mergeCells>
  <printOptions horizontalCentered="1"/>
  <pageMargins left="0.75" right="0.75" top="1" bottom="1" header="0.5" footer="0.5"/>
  <pageSetup orientation="portrait" fitToHeight="1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6" t="inlineStr">
        <is>
          <t>ROOFING - Squares, bundles &amp; the pitch multiplier</t>
        </is>
      </c>
    </row>
    <row r="2">
      <c r="A2" s="7" t="inlineStr">
        <is>
          <t>From the footprint and the pitch to the squares on the roof and the bundles on the order - plain gable math.</t>
        </is>
      </c>
    </row>
    <row r="4" ht="20" customHeight="1">
      <c r="A4" s="8" t="inlineStr">
        <is>
          <t>1 - ROOF AREA &amp; SQUARES - PLAIN GABLE</t>
        </is>
      </c>
    </row>
    <row r="5">
      <c r="A5" s="9" t="inlineStr">
        <is>
          <t>Building length (ft)</t>
        </is>
      </c>
      <c r="B5" s="18" t="n">
        <v>40</v>
      </c>
    </row>
    <row r="6">
      <c r="A6" s="9" t="inlineStr">
        <is>
          <t>Building width (ft)</t>
        </is>
      </c>
      <c r="B6" s="18" t="n">
        <v>28</v>
      </c>
    </row>
    <row r="7">
      <c r="A7" s="9" t="inlineStr">
        <is>
          <t>Pitch (rise, in per 12 in of run)</t>
        </is>
      </c>
      <c r="B7" s="18" t="n">
        <v>6</v>
      </c>
    </row>
    <row r="8">
      <c r="A8" s="9" t="inlineStr">
        <is>
          <t>Eave overhang (in, horizontal)</t>
        </is>
      </c>
      <c r="B8" s="18" t="n">
        <v>12</v>
      </c>
    </row>
    <row r="9">
      <c r="A9" s="9" t="inlineStr">
        <is>
          <t>Rake overhang (in, each end)</t>
        </is>
      </c>
      <c r="B9" s="18" t="n">
        <v>12</v>
      </c>
    </row>
    <row r="10">
      <c r="A10" s="9" t="inlineStr">
        <is>
          <t>Pitch multiplier</t>
        </is>
      </c>
      <c r="B10" s="86">
        <f>SQRT(144+B7^2)/12</f>
        <v/>
      </c>
    </row>
    <row r="11">
      <c r="A11" s="9" t="inlineStr">
        <is>
          <t>Roof length incl. rake overhang (ft)</t>
        </is>
      </c>
      <c r="B11" s="21">
        <f>B5+2*B9/12</f>
        <v/>
      </c>
    </row>
    <row r="12">
      <c r="A12" s="9" t="inlineStr">
        <is>
          <t>Slope length, one side (ft)</t>
        </is>
      </c>
      <c r="B12" s="21">
        <f>(B6/2+B8/12)*B10</f>
        <v/>
      </c>
    </row>
    <row r="13">
      <c r="A13" s="14" t="inlineStr">
        <is>
          <t>ROOF AREA, BOTH SLOPES (sq ft)</t>
        </is>
      </c>
      <c r="B13" s="26">
        <f>2*B11*B12</f>
        <v/>
      </c>
    </row>
    <row r="14">
      <c r="A14" s="14" t="inlineStr">
        <is>
          <t>SQUARES (100 sq ft each)</t>
        </is>
      </c>
      <c r="B14" s="22">
        <f>B13/100</f>
        <v/>
      </c>
    </row>
    <row r="15" ht="28" customHeight="1">
      <c r="A15" s="17" t="inlineStr">
        <is>
          <t>One square is 100 square feet of roof. This figures a plain gable end to end - hips, valleys, dormers and crickets add area the footprint math cannot see; measure those slopes directly and add them in.</t>
        </is>
      </c>
    </row>
    <row r="17" ht="20" customHeight="1">
      <c r="A17" s="8" t="inlineStr">
        <is>
          <t>2 - SHINGLE BUNDLES</t>
        </is>
      </c>
    </row>
    <row r="18">
      <c r="A18" s="9" t="inlineStr">
        <is>
          <t>Squares to cover</t>
        </is>
      </c>
      <c r="B18" s="21">
        <f>B14</f>
        <v/>
      </c>
      <c r="C18" s="24" t="inlineStr">
        <is>
          <t>Carried down from the roof above - run section 1 with your own numbers if you measured the roof instead</t>
        </is>
      </c>
    </row>
    <row r="19">
      <c r="A19" s="9" t="inlineStr">
        <is>
          <t>Waste &amp; cuts</t>
        </is>
      </c>
      <c r="B19" s="12" t="n">
        <v>0.1</v>
      </c>
      <c r="C19" s="24" t="inlineStr">
        <is>
          <t>Estimate - 10% on a plain gable, 15% on a cut-up roof</t>
        </is>
      </c>
    </row>
    <row r="20">
      <c r="A20" s="9" t="inlineStr">
        <is>
          <t>Bundles per square</t>
        </is>
      </c>
      <c r="B20" s="18" t="n">
        <v>3</v>
      </c>
      <c r="C20" s="24" t="inlineStr">
        <is>
          <t>Typical for standard 3-tab and most architectural shingles - the bundle wrapper on yours is the truth</t>
        </is>
      </c>
    </row>
    <row r="21">
      <c r="A21" s="9" t="inlineStr">
        <is>
          <t>Squares with waste</t>
        </is>
      </c>
      <c r="B21" s="21">
        <f>B18*(1+B19)</f>
        <v/>
      </c>
    </row>
    <row r="22">
      <c r="A22" s="14" t="inlineStr">
        <is>
          <t>BUNDLES TO BUY</t>
        </is>
      </c>
      <c r="B22" s="26">
        <f>CEILING(B21*B20,1)</f>
        <v/>
      </c>
    </row>
    <row r="23" ht="28" customHeight="1">
      <c r="A23" s="17" t="inlineStr">
        <is>
          <t>Ridge cap, starter strip, underlayment and ice-and-water shield are separate lines on the order - this count is field shingles only.</t>
        </is>
      </c>
    </row>
    <row r="25" ht="20" customHeight="1">
      <c r="A25" s="8" t="inlineStr">
        <is>
          <t>3 - QUICK REFERENCE - PITCH MULTIPLIERS &amp; ANGLES</t>
        </is>
      </c>
    </row>
    <row r="26" ht="28" customHeight="1">
      <c r="A26" s="17" t="inlineStr">
        <is>
          <t>Multiply any horizontal run by the factor to get the slope length - rafters, roofing and gutters all run on the same table. Exact geometry: factor = SQRT(144 + rise^2) / 12.</t>
        </is>
      </c>
    </row>
    <row r="27">
      <c r="A27" s="31" t="inlineStr">
        <is>
          <t>Rise (per 12 in)</t>
        </is>
      </c>
      <c r="B27" s="31" t="inlineStr">
        <is>
          <t>Slope factor</t>
        </is>
      </c>
      <c r="C27" s="31" t="inlineStr">
        <is>
          <t>Slope angle (deg)</t>
        </is>
      </c>
      <c r="D27" s="31" t="inlineStr">
        <is>
          <t>Typical use</t>
        </is>
      </c>
    </row>
    <row r="28">
      <c r="A28" s="30" t="n">
        <v>1</v>
      </c>
      <c r="B28" s="87">
        <f>SQRT(144+A28^2)/12</f>
        <v/>
      </c>
      <c r="C28" s="88">
        <f>DEGREES(ATAN(A28/12))</f>
        <v/>
      </c>
      <c r="D28" s="30" t="inlineStr"/>
    </row>
    <row r="29">
      <c r="A29" s="30" t="n">
        <v>2</v>
      </c>
      <c r="B29" s="87">
        <f>SQRT(144+A29^2)/12</f>
        <v/>
      </c>
      <c r="C29" s="88">
        <f>DEGREES(ATAN(A29/12))</f>
        <v/>
      </c>
      <c r="D29" s="30" t="inlineStr">
        <is>
          <t>Very low slope</t>
        </is>
      </c>
    </row>
    <row r="30">
      <c r="A30" s="30" t="n">
        <v>3</v>
      </c>
      <c r="B30" s="87">
        <f>SQRT(144+A30^2)/12</f>
        <v/>
      </c>
      <c r="C30" s="88">
        <f>DEGREES(ATAN(A30/12))</f>
        <v/>
      </c>
      <c r="D30" s="30" t="inlineStr"/>
    </row>
    <row r="31">
      <c r="A31" s="30" t="n">
        <v>4</v>
      </c>
      <c r="B31" s="87">
        <f>SQRT(144+A31^2)/12</f>
        <v/>
      </c>
      <c r="C31" s="88">
        <f>DEGREES(ATAN(A31/12))</f>
        <v/>
      </c>
      <c r="D31" s="30" t="inlineStr">
        <is>
          <t>Porch / shed roof</t>
        </is>
      </c>
    </row>
    <row r="32">
      <c r="A32" s="30" t="n">
        <v>5</v>
      </c>
      <c r="B32" s="87">
        <f>SQRT(144+A32^2)/12</f>
        <v/>
      </c>
      <c r="C32" s="88">
        <f>DEGREES(ATAN(A32/12))</f>
        <v/>
      </c>
      <c r="D32" s="30" t="inlineStr"/>
    </row>
    <row r="33">
      <c r="A33" s="30" t="n">
        <v>6</v>
      </c>
      <c r="B33" s="87">
        <f>SQRT(144+A33^2)/12</f>
        <v/>
      </c>
      <c r="C33" s="88">
        <f>DEGREES(ATAN(A33/12))</f>
        <v/>
      </c>
      <c r="D33" s="30" t="inlineStr">
        <is>
          <t>Common house roof</t>
        </is>
      </c>
    </row>
    <row r="34">
      <c r="A34" s="30" t="n">
        <v>7</v>
      </c>
      <c r="B34" s="87">
        <f>SQRT(144+A34^2)/12</f>
        <v/>
      </c>
      <c r="C34" s="88">
        <f>DEGREES(ATAN(A34/12))</f>
        <v/>
      </c>
      <c r="D34" s="30" t="inlineStr"/>
    </row>
    <row r="35">
      <c r="A35" s="30" t="n">
        <v>8</v>
      </c>
      <c r="B35" s="87">
        <f>SQRT(144+A35^2)/12</f>
        <v/>
      </c>
      <c r="C35" s="88">
        <f>DEGREES(ATAN(A35/12))</f>
        <v/>
      </c>
      <c r="D35" s="30" t="inlineStr"/>
    </row>
    <row r="36">
      <c r="A36" s="30" t="n">
        <v>9</v>
      </c>
      <c r="B36" s="87">
        <f>SQRT(144+A36^2)/12</f>
        <v/>
      </c>
      <c r="C36" s="88">
        <f>DEGREES(ATAN(A36/12))</f>
        <v/>
      </c>
      <c r="D36" s="30" t="inlineStr">
        <is>
          <t>Steep roof</t>
        </is>
      </c>
    </row>
    <row r="37">
      <c r="A37" s="30" t="n">
        <v>10</v>
      </c>
      <c r="B37" s="87">
        <f>SQRT(144+A37^2)/12</f>
        <v/>
      </c>
      <c r="C37" s="88">
        <f>DEGREES(ATAN(A37/12))</f>
        <v/>
      </c>
      <c r="D37" s="30" t="inlineStr"/>
    </row>
    <row r="38">
      <c r="A38" s="30" t="n">
        <v>11</v>
      </c>
      <c r="B38" s="87">
        <f>SQRT(144+A38^2)/12</f>
        <v/>
      </c>
      <c r="C38" s="88">
        <f>DEGREES(ATAN(A38/12))</f>
        <v/>
      </c>
      <c r="D38" s="30" t="inlineStr"/>
    </row>
    <row r="39">
      <c r="A39" s="30" t="n">
        <v>12</v>
      </c>
      <c r="B39" s="87">
        <f>SQRT(144+A39^2)/12</f>
        <v/>
      </c>
      <c r="C39" s="88">
        <f>DEGREES(ATAN(A39/12))</f>
        <v/>
      </c>
      <c r="D39" s="30" t="inlineStr">
        <is>
          <t>45 degrees</t>
        </is>
      </c>
    </row>
    <row r="40" ht="28" customHeight="1">
      <c r="A40" s="17" t="inlineStr">
        <is>
          <t>Whether shingles are even allowed at a low pitch, and what underlayment they need there, comes from the shingle maker's instructions and your code - not from this sheet.</t>
        </is>
      </c>
    </row>
  </sheetData>
  <mergeCells count="9">
    <mergeCell ref="A1:C1"/>
    <mergeCell ref="A23:C23"/>
    <mergeCell ref="A17:C17"/>
    <mergeCell ref="A40:F40"/>
    <mergeCell ref="A26:F26"/>
    <mergeCell ref="A4:C4"/>
    <mergeCell ref="A2:C2"/>
    <mergeCell ref="A25:F25"/>
    <mergeCell ref="A15:C15"/>
  </mergeCells>
  <printOptions horizontalCentered="1"/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Highway 38 Solutions</dc:creator>
  <dc:title xmlns:dc="http://purl.org/dc/elements/1.1/">H38 Contractor Calc - Highway 38 Solutions</dc:title>
  <dcterms:created xmlns:dcterms="http://purl.org/dc/terms/" xmlns:xsi="http://www.w3.org/2001/XMLSchema-instance" xsi:type="dcterms:W3CDTF">2026-10-25T21:36:25Z</dcterms:created>
  <dcterms:modified xmlns:dcterms="http://purl.org/dc/terms/" xmlns:xsi="http://www.w3.org/2001/XMLSchema-instance" xsi:type="dcterms:W3CDTF">2026-10-28T03:13:40+00:00Z</dcterms:modified>
</cp:coreProperties>
</file>