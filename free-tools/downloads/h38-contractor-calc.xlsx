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8.xml" ContentType="application/vnd.openxmlformats-officedocument.drawing+xml"/>
  <Override PartName="/xl/worksheets/sheet12.xml" ContentType="application/vnd.openxmlformats-officedocument.spreadsheetml.worksheet+xml"/>
  <Override PartName="/xl/drawings/drawing9.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drawings/drawing10.xml" ContentType="application/vnd.openxmlformats-officedocument.drawing+xml"/>
  <Override PartName="/xl/worksheets/sheet15.xml" ContentType="application/vnd.openxmlformats-officedocument.spreadsheetml.worksheet+xml"/>
  <Override PartName="/xl/drawings/drawing11.xml" ContentType="application/vnd.openxmlformats-officedocument.drawing+xml"/>
  <Override PartName="/xl/worksheets/sheet16.xml" ContentType="application/vnd.openxmlformats-officedocument.spreadsheetml.worksheet+xml"/>
  <Override PartName="/xl/drawings/drawing12.xml" ContentType="application/vnd.openxmlformats-officedocument.drawing+xml"/>
  <Override PartName="/xl/worksheets/sheet17.xml" ContentType="application/vnd.openxmlformats-officedocument.spreadsheetml.worksheet+xml"/>
  <Override PartName="/xl/drawings/drawing13.xml" ContentType="application/vnd.openxmlformats-officedocument.drawing+xml"/>
  <Override PartName="/xl/worksheets/sheet18.xml" ContentType="application/vnd.openxmlformats-officedocument.spreadsheetml.worksheet+xml"/>
  <Override PartName="/xl/drawings/drawing14.xml" ContentType="application/vnd.openxmlformats-officedocument.drawing+xml"/>
  <Override PartName="/xl/worksheets/sheet19.xml" ContentType="application/vnd.openxmlformats-officedocument.spreadsheetml.worksheet+xml"/>
  <Override PartName="/xl/drawings/drawing15.xml" ContentType="application/vnd.openxmlformats-officedocument.drawing+xml"/>
  <Override PartName="/xl/worksheets/sheet20.xml" ContentType="application/vnd.openxmlformats-officedocument.spreadsheetml.worksheet+xml"/>
  <Override PartName="/xl/drawings/drawing16.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tandard" sheetId="2" state="visible" r:id="rId2"/>
    <sheet xmlns:r="http://schemas.openxmlformats.org/officeDocument/2006/relationships" name="Standard Reference" sheetId="3" state="visible" r:id="rId3"/>
    <sheet xmlns:r="http://schemas.openxmlformats.org/officeDocument/2006/relationships" name="Business Tools" sheetId="4" state="visible" r:id="rId4"/>
    <sheet xmlns:r="http://schemas.openxmlformats.org/officeDocument/2006/relationships" name="Electrical" sheetId="5" state="visible" r:id="rId5"/>
    <sheet xmlns:r="http://schemas.openxmlformats.org/officeDocument/2006/relationships" name="Electrical Reference" sheetId="6" state="visible" r:id="rId6"/>
    <sheet xmlns:r="http://schemas.openxmlformats.org/officeDocument/2006/relationships" name="Service &amp; Motors" sheetId="7" state="visible" r:id="rId7"/>
    <sheet xmlns:r="http://schemas.openxmlformats.org/officeDocument/2006/relationships" name="Generator &amp; Lighting" sheetId="8" state="visible" r:id="rId8"/>
    <sheet xmlns:r="http://schemas.openxmlformats.org/officeDocument/2006/relationships" name="Conduit Fill Plus" sheetId="9" state="visible" r:id="rId9"/>
    <sheet xmlns:r="http://schemas.openxmlformats.org/officeDocument/2006/relationships" name="Plumbing" sheetId="10" state="visible" r:id="rId10"/>
    <sheet xmlns:r="http://schemas.openxmlformats.org/officeDocument/2006/relationships" name="Plumbing Reference" sheetId="11" state="visible" r:id="rId11"/>
    <sheet xmlns:r="http://schemas.openxmlformats.org/officeDocument/2006/relationships" name="Plumbing Sizing" sheetId="12" state="visible" r:id="rId12"/>
    <sheet xmlns:r="http://schemas.openxmlformats.org/officeDocument/2006/relationships" name="HVAC" sheetId="13" state="visible" r:id="rId13"/>
    <sheet xmlns:r="http://schemas.openxmlformats.org/officeDocument/2006/relationships" name="HVAC Reference" sheetId="14" state="visible" r:id="rId14"/>
    <sheet xmlns:r="http://schemas.openxmlformats.org/officeDocument/2006/relationships" name="HVAC Loads" sheetId="15" state="visible" r:id="rId15"/>
    <sheet xmlns:r="http://schemas.openxmlformats.org/officeDocument/2006/relationships" name="Carpentry &amp; Framing" sheetId="16" state="visible" r:id="rId16"/>
    <sheet xmlns:r="http://schemas.openxmlformats.org/officeDocument/2006/relationships" name="Concrete &amp; Masonry" sheetId="17" state="visible" r:id="rId17"/>
    <sheet xmlns:r="http://schemas.openxmlformats.org/officeDocument/2006/relationships" name="Roofing" sheetId="18" state="visible" r:id="rId18"/>
    <sheet xmlns:r="http://schemas.openxmlformats.org/officeDocument/2006/relationships" name="Drywall &amp; Painting" sheetId="19" state="visible" r:id="rId19"/>
    <sheet xmlns:r="http://schemas.openxmlformats.org/officeDocument/2006/relationships" name="Flooring" sheetId="20" state="visible" r:id="rId20"/>
    <sheet xmlns:r="http://schemas.openxmlformats.org/officeDocument/2006/relationships" name="Electrical Quote" sheetId="21" state="visible" r:id="rId21"/>
    <sheet xmlns:r="http://schemas.openxmlformats.org/officeDocument/2006/relationships" name="Plumbing Quote" sheetId="22" state="visible" r:id="rId22"/>
    <sheet xmlns:r="http://schemas.openxmlformats.org/officeDocument/2006/relationships" name="HVAC Quote" sheetId="23" state="visible" r:id="rId23"/>
  </sheets>
  <definedNames/>
  <calcPr calcId="124519" fullCalcOnLoad="1"/>
</workbook>
</file>

<file path=xl/styles.xml><?xml version="1.0" encoding="utf-8"?>
<styleSheet xmlns="http://schemas.openxmlformats.org/spreadsheetml/2006/main">
  <numFmts count="9">
    <numFmt numFmtId="164" formatCode="&quot;$&quot;#,##0.00"/>
    <numFmt numFmtId="165" formatCode="0.0%"/>
    <numFmt numFmtId="166" formatCode="#,##0.0"/>
    <numFmt numFmtId="167" formatCode="&quot;$&quot;#,##0.000"/>
    <numFmt numFmtId="168" formatCode="0.0000"/>
    <numFmt numFmtId="169" formatCode="0.000"/>
    <numFmt numFmtId="170" formatCode="0.0"/>
    <numFmt numFmtId="171" formatCode="&quot;$&quot;#,##0"/>
    <numFmt numFmtId="172" formatCode="#,##0.000"/>
  </numFmts>
  <fonts count="12">
    <font>
      <name val="Calibri"/>
      <family val="2"/>
      <color theme="1"/>
      <sz val="11"/>
      <scheme val="minor"/>
    </font>
    <font>
      <name val="Calibri"/>
      <b val="1"/>
      <color rgb="001B2A4E"/>
      <sz val="18"/>
    </font>
    <font>
      <name val="Calibri"/>
      <color rgb="00444444"/>
      <sz val="11"/>
    </font>
    <font>
      <name val="Calibri"/>
      <b val="1"/>
      <sz val="11"/>
    </font>
    <font>
      <name val="Calibri"/>
      <sz val="11"/>
    </font>
    <font>
      <name val="Calibri"/>
      <b val="1"/>
      <color rgb="001B2A4E"/>
      <sz val="11"/>
    </font>
    <font>
      <name val="Calibri"/>
      <b val="1"/>
      <color rgb="00FFFFFF"/>
      <sz val="14"/>
    </font>
    <font>
      <name val="Calibri"/>
      <b val="1"/>
      <color rgb="001B2A4E"/>
      <sz val="12"/>
    </font>
    <font>
      <name val="Calibri"/>
      <i val="1"/>
      <color rgb="00555555"/>
      <sz val="11"/>
    </font>
    <font>
      <name val="Calibri"/>
      <b val="1"/>
      <color rgb="00FFFFFF"/>
      <sz val="11"/>
    </font>
    <font>
      <name val="Calibri"/>
      <b val="1"/>
      <color rgb="00555555"/>
      <sz val="11"/>
    </font>
    <font>
      <name val="Calibri"/>
      <color rgb="00555555"/>
      <sz val="11"/>
    </font>
  </fonts>
  <fills count="5">
    <fill>
      <patternFill/>
    </fill>
    <fill>
      <patternFill patternType="gray125"/>
    </fill>
    <fill>
      <patternFill patternType="solid">
        <fgColor rgb="001B2A4E"/>
      </patternFill>
    </fill>
    <fill>
      <patternFill patternType="solid">
        <fgColor rgb="00C9A86A"/>
      </patternFill>
    </fill>
    <fill>
      <patternFill patternType="solid">
        <fgColor rgb="00FFF7D6"/>
      </patternFill>
    </fill>
  </fills>
  <borders count="8">
    <border>
      <left/>
      <right/>
      <top/>
      <bottom/>
      <diagonal/>
    </border>
    <border>
      <left style="thin">
        <color rgb="00B0B8C5"/>
      </left>
      <right style="thin">
        <color rgb="00B0B8C5"/>
      </right>
      <top style="thin">
        <color rgb="00B0B8C5"/>
      </top>
      <bottom style="thin">
        <color rgb="00B0B8C5"/>
      </bottom>
    </border>
    <border>
      <left/>
      <right/>
      <top style="thin">
        <color rgb="00B0B8C5"/>
      </top>
      <bottom/>
      <diagonal/>
    </border>
    <border>
      <left/>
      <right style="thin">
        <color rgb="00B0B8C5"/>
      </right>
      <top style="thin">
        <color rgb="00B0B8C5"/>
      </top>
      <bottom/>
      <diagonal/>
    </border>
    <border>
      <left/>
      <right/>
      <top style="thin">
        <color rgb="00B0B8C5"/>
      </top>
      <bottom style="thin">
        <color rgb="00B0B8C5"/>
      </bottom>
      <diagonal/>
    </border>
    <border>
      <left/>
      <right style="thin">
        <color rgb="00B0B8C5"/>
      </right>
      <top style="thin">
        <color rgb="00B0B8C5"/>
      </top>
      <bottom style="thin">
        <color rgb="00B0B8C5"/>
      </bottom>
      <diagonal/>
    </border>
    <border>
      <left style="thin"/>
      <right style="thin"/>
      <top style="thin"/>
      <bottom style="thin"/>
    </border>
    <border/>
  </borders>
  <cellStyleXfs count="1">
    <xf numFmtId="0" fontId="0" fillId="0" borderId="0"/>
  </cellStyleXfs>
  <cellXfs count="9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0" applyAlignment="1" pivotButton="0" quotePrefix="0" xfId="0">
      <alignment vertical="center"/>
    </xf>
    <xf numFmtId="0" fontId="2" fillId="0" borderId="0" applyAlignment="1" pivotButton="0" quotePrefix="0" xfId="0">
      <alignment vertical="top" wrapText="1"/>
    </xf>
    <xf numFmtId="0" fontId="7" fillId="3" borderId="0" applyAlignment="1" pivotButton="0" quotePrefix="0" xfId="0">
      <alignment vertical="center"/>
    </xf>
    <xf numFmtId="0" fontId="4" fillId="0" borderId="0" pivotButton="0" quotePrefix="0" xfId="0"/>
    <xf numFmtId="3" fontId="0" fillId="4" borderId="1" pivotButton="0" quotePrefix="0" xfId="0"/>
    <xf numFmtId="164" fontId="0" fillId="4" borderId="1" pivotButton="0" quotePrefix="0" xfId="0"/>
    <xf numFmtId="165" fontId="0" fillId="4" borderId="1" pivotButton="0" quotePrefix="0" xfId="0"/>
    <xf numFmtId="164" fontId="0" fillId="0" borderId="1" pivotButton="0" quotePrefix="0" xfId="0"/>
    <xf numFmtId="0" fontId="3" fillId="0" borderId="0" pivotButton="0" quotePrefix="0" xfId="0"/>
    <xf numFmtId="164" fontId="3" fillId="0" borderId="1" pivotButton="0" quotePrefix="0" xfId="0"/>
    <xf numFmtId="165" fontId="0" fillId="0" borderId="1" pivotButton="0" quotePrefix="0" xfId="0"/>
    <xf numFmtId="0" fontId="8" fillId="0" borderId="0" applyAlignment="1" pivotButton="0" quotePrefix="0" xfId="0">
      <alignment vertical="top" wrapText="1"/>
    </xf>
    <xf numFmtId="166" fontId="0" fillId="4" borderId="1" pivotButton="0" quotePrefix="0" xfId="0"/>
    <xf numFmtId="167" fontId="0" fillId="4" borderId="1" pivotButton="0" quotePrefix="0" xfId="0"/>
    <xf numFmtId="3" fontId="0" fillId="0" borderId="1" pivotButton="0" quotePrefix="0" xfId="0"/>
    <xf numFmtId="4" fontId="0" fillId="0" borderId="1" pivotButton="0" quotePrefix="0" xfId="0"/>
    <xf numFmtId="4" fontId="3" fillId="0" borderId="1" pivotButton="0" quotePrefix="0" xfId="0"/>
    <xf numFmtId="0" fontId="0" fillId="4" borderId="1" pivotButton="0" quotePrefix="0" xfId="0"/>
    <xf numFmtId="0" fontId="8" fillId="0" borderId="0" pivotButton="0" quotePrefix="0" xfId="0"/>
    <xf numFmtId="166" fontId="3" fillId="0" borderId="1" pivotButton="0" quotePrefix="0" xfId="0"/>
    <xf numFmtId="3" fontId="3" fillId="0" borderId="1" pivotButton="0" quotePrefix="0" xfId="0"/>
    <xf numFmtId="4" fontId="0" fillId="4" borderId="1" pivotButton="0" quotePrefix="0" xfId="0"/>
    <xf numFmtId="168" fontId="0" fillId="0" borderId="1" pivotButton="0" quotePrefix="0" xfId="0"/>
    <xf numFmtId="165" fontId="3" fillId="0" borderId="1" pivotButton="0" quotePrefix="0" xfId="0"/>
    <xf numFmtId="0" fontId="4" fillId="0" borderId="1" pivotButton="0" quotePrefix="0" xfId="0"/>
    <xf numFmtId="0" fontId="3" fillId="0" borderId="1" pivotButton="0" quotePrefix="0" xfId="0"/>
    <xf numFmtId="0" fontId="0" fillId="0" borderId="1" pivotButton="0" quotePrefix="0" xfId="0"/>
    <xf numFmtId="166" fontId="0" fillId="0" borderId="1" pivotButton="0" quotePrefix="0" xfId="0"/>
    <xf numFmtId="0" fontId="9" fillId="2" borderId="1" applyAlignment="1" pivotButton="0" quotePrefix="0" xfId="0">
      <alignment horizontal="center" vertical="center" wrapText="1"/>
    </xf>
    <xf numFmtId="0" fontId="7" fillId="3" borderId="0" pivotButton="0" quotePrefix="0" xfId="0"/>
    <xf numFmtId="3" fontId="4" fillId="4" borderId="6" pivotButton="0" quotePrefix="0" xfId="0"/>
    <xf numFmtId="0" fontId="4" fillId="4" borderId="6" pivotButton="0" quotePrefix="0" xfId="0"/>
    <xf numFmtId="4" fontId="4" fillId="0" borderId="6" pivotButton="0" quotePrefix="0" xfId="0"/>
    <xf numFmtId="3" fontId="4" fillId="0" borderId="6" pivotButton="0" quotePrefix="0" xfId="0"/>
    <xf numFmtId="4" fontId="3" fillId="0" borderId="6" pivotButton="0" quotePrefix="0" xfId="0"/>
    <xf numFmtId="165" fontId="3" fillId="0" borderId="6" pivotButton="0" quotePrefix="0" xfId="0"/>
    <xf numFmtId="0" fontId="10" fillId="0" borderId="0" applyAlignment="1" pivotButton="0" quotePrefix="0" xfId="0">
      <alignment vertical="top" wrapText="1"/>
    </xf>
    <xf numFmtId="0" fontId="11" fillId="0" borderId="0" applyAlignment="1" pivotButton="0" quotePrefix="0" xfId="0">
      <alignment vertical="top" wrapText="1"/>
    </xf>
    <xf numFmtId="0" fontId="4" fillId="0" borderId="6" pivotButton="0" quotePrefix="0" xfId="0"/>
    <xf numFmtId="4" fontId="4" fillId="4" borderId="6" pivotButton="0" quotePrefix="0" xfId="0"/>
    <xf numFmtId="3" fontId="3" fillId="0" borderId="6" pivotButton="0" quotePrefix="0" xfId="0"/>
    <xf numFmtId="0" fontId="3" fillId="0" borderId="6" pivotButton="0" quotePrefix="0" xfId="0"/>
    <xf numFmtId="169" fontId="4" fillId="0" borderId="6" pivotButton="0" quotePrefix="0" xfId="0"/>
    <xf numFmtId="168" fontId="4" fillId="0" borderId="6" pivotButton="0" quotePrefix="0" xfId="0"/>
    <xf numFmtId="170" fontId="3" fillId="0" borderId="6" pivotButton="0" quotePrefix="0" xfId="0"/>
    <xf numFmtId="164" fontId="4" fillId="4" borderId="6" pivotButton="0" quotePrefix="0" xfId="0"/>
    <xf numFmtId="164" fontId="3" fillId="0" borderId="6" pivotButton="0" quotePrefix="0" xfId="0"/>
    <xf numFmtId="0" fontId="0" fillId="0" borderId="4" pivotButton="0" quotePrefix="0" xfId="0"/>
    <xf numFmtId="0" fontId="0" fillId="0" borderId="5" pivotButton="0" quotePrefix="0" xfId="0"/>
    <xf numFmtId="0" fontId="4" fillId="0" borderId="0" applyAlignment="1" pivotButton="0" quotePrefix="0" xfId="0">
      <alignment wrapText="1"/>
    </xf>
    <xf numFmtId="0" fontId="6" fillId="2" borderId="0" pivotButton="0" quotePrefix="0" xfId="0"/>
    <xf numFmtId="0" fontId="2" fillId="0" borderId="0" applyAlignment="1" pivotButton="0" quotePrefix="0" xfId="0">
      <alignment wrapText="1"/>
    </xf>
    <xf numFmtId="9" fontId="4" fillId="0" borderId="0" pivotButton="0" quotePrefix="0" xfId="0"/>
    <xf numFmtId="171" fontId="4" fillId="0" borderId="0" pivotButton="0" quotePrefix="0" xfId="0"/>
    <xf numFmtId="165" fontId="4" fillId="0" borderId="0" pivotButton="0" quotePrefix="0" xfId="0"/>
    <xf numFmtId="0" fontId="8" fillId="0" borderId="0" applyAlignment="1" pivotButton="0" quotePrefix="0" xfId="0">
      <alignment wrapText="1"/>
    </xf>
    <xf numFmtId="170" fontId="4" fillId="0" borderId="0" pivotButton="0" quotePrefix="0" xfId="0"/>
    <xf numFmtId="3" fontId="4" fillId="0" borderId="0" pivotButton="0" quotePrefix="0" xfId="0"/>
    <xf numFmtId="2" fontId="4" fillId="0" borderId="0" pivotButton="0" quotePrefix="0" xfId="0"/>
    <xf numFmtId="168" fontId="4" fillId="0" borderId="0" pivotButton="0" quotePrefix="0" xfId="0"/>
    <xf numFmtId="1" fontId="4" fillId="0" borderId="0" pivotButton="0" quotePrefix="0" xfId="0"/>
    <xf numFmtId="169" fontId="4" fillId="0" borderId="0" pivotButton="0" quotePrefix="0" xfId="0"/>
    <xf numFmtId="10" fontId="4" fillId="4" borderId="6" pivotButton="0" quotePrefix="0" xfId="0"/>
    <xf numFmtId="0" fontId="11" fillId="0" borderId="0" pivotButton="0" quotePrefix="0" xfId="0"/>
    <xf numFmtId="165" fontId="4" fillId="4" borderId="6" pivotButton="0" quotePrefix="0" xfId="0"/>
    <xf numFmtId="164" fontId="4" fillId="0" borderId="6" pivotButton="0" quotePrefix="0" xfId="0"/>
    <xf numFmtId="165" fontId="4" fillId="0" borderId="6" pivotButton="0" quotePrefix="0" xfId="0"/>
    <xf numFmtId="166" fontId="4" fillId="4" borderId="6" pivotButton="0" quotePrefix="0" xfId="0"/>
    <xf numFmtId="10" fontId="4" fillId="0" borderId="6" pivotButton="0" quotePrefix="0" xfId="0"/>
    <xf numFmtId="166" fontId="4" fillId="0" borderId="6" pivotButton="0" quotePrefix="0" xfId="0"/>
    <xf numFmtId="166" fontId="0" fillId="0" borderId="6" pivotButton="0" quotePrefix="0" xfId="0"/>
    <xf numFmtId="165" fontId="0" fillId="0" borderId="6" pivotButton="0" quotePrefix="0" xfId="0"/>
    <xf numFmtId="166" fontId="3" fillId="0" borderId="6" pivotButton="0" quotePrefix="0" xfId="0"/>
    <xf numFmtId="3" fontId="0" fillId="0" borderId="6" pivotButton="0" quotePrefix="0" xfId="0"/>
    <xf numFmtId="168" fontId="0" fillId="0" borderId="6" pivotButton="0" quotePrefix="0" xfId="0"/>
    <xf numFmtId="4" fontId="0" fillId="0" borderId="6" pivotButton="0" quotePrefix="0" xfId="0"/>
    <xf numFmtId="0" fontId="7" fillId="3" borderId="7" pivotButton="0" quotePrefix="0" xfId="0"/>
    <xf numFmtId="0" fontId="3" fillId="0" borderId="7" pivotButton="0" quotePrefix="0" xfId="0"/>
    <xf numFmtId="0" fontId="4" fillId="0" borderId="7" pivotButton="0" quotePrefix="0" xfId="0"/>
    <xf numFmtId="0" fontId="11" fillId="0" borderId="7" applyAlignment="1" pivotButton="0" quotePrefix="0" xfId="0">
      <alignment vertical="top" wrapText="1"/>
    </xf>
    <xf numFmtId="172" fontId="0" fillId="0" borderId="1" pivotButton="0" quotePrefix="0" xfId="0"/>
    <xf numFmtId="172" fontId="4" fillId="0" borderId="1" pivotButton="0" quotePrefix="0" xfId="0"/>
    <xf numFmtId="166" fontId="4" fillId="0" borderId="1" pivotButton="0" quotePrefix="0" xfId="0"/>
    <xf numFmtId="4"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drawing1.xml><?xml version="1.0" encoding="utf-8"?>
<wsDr xmlns="http://schemas.openxmlformats.org/drawingml/2006/spreadsheetDrawing">
  <oneCellAnchor>
    <from>
      <col>3</col>
      <colOff>0</colOff>
      <row>0</row>
      <rowOff>0</rowOff>
    </from>
    <ext cx="1809750" cy="1809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5</col>
      <colOff>0</colOff>
      <row>0</row>
      <rowOff>0</rowOff>
    </from>
    <ext cx="1143000" cy="1143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8</col>
      <colOff>0</colOff>
      <row>0</row>
      <rowOff>0</rowOff>
    </from>
    <ext cx="1371600" cy="1371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8</col>
      <colOff>0</colOff>
      <row>0</row>
      <rowOff>0</rowOff>
    </from>
    <ext cx="1143000" cy="1143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8</col>
      <colOff>0</colOff>
      <row>0</row>
      <rowOff>0</rowOff>
    </from>
    <ext cx="1371600" cy="1371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6.xml><?xml version="1.0" encoding="utf-8"?>
<wsDr xmlns="http://schemas.openxmlformats.org/drawingml/2006/spreadsheetDrawing">
  <oneCellAnchor>
    <from>
      <col>8</col>
      <colOff>0</colOff>
      <row>0</row>
      <rowOff>0</rowOff>
    </from>
    <ext cx="1371600" cy="1371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7.xml><?xml version="1.0" encoding="utf-8"?>
<wsDr xmlns="http://schemas.openxmlformats.org/drawingml/2006/spreadsheetDrawing">
  <oneCellAnchor>
    <from>
      <col>8</col>
      <colOff>0</colOff>
      <row>0</row>
      <rowOff>0</rowOff>
    </from>
    <ext cx="1371600" cy="1371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8.xml><?xml version="1.0" encoding="utf-8"?>
<wsDr xmlns="http://schemas.openxmlformats.org/drawingml/2006/spreadsheetDrawing">
  <oneCellAnchor>
    <from>
      <col>11</col>
      <colOff>0</colOff>
      <row>0</row>
      <rowOff>0</rowOff>
    </from>
    <ext cx="1143000" cy="1143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9.xml><?xml version="1.0" encoding="utf-8"?>
<wsDr xmlns="http://schemas.openxmlformats.org/drawingml/2006/spreadsheetDrawing">
  <oneCellAnchor>
    <from>
      <col>8</col>
      <colOff>0</colOff>
      <row>0</row>
      <rowOff>0</rowOff>
    </from>
    <ext cx="1371600" cy="1371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0.xml><?xml version="1.0" encoding="utf-8"?>
<wsDr xmlns="http://schemas.openxmlformats.org/drawingml/2006/spreadsheetDrawing">
  <oneCellAnchor>
    <from>
      <col>7</col>
      <colOff>0</colOff>
      <row>0</row>
      <rowOff>0</rowOff>
    </from>
    <ext cx="1143000" cy="1143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1.xml><?xml version="1.0" encoding="utf-8"?>
<wsDr xmlns="http://schemas.openxmlformats.org/drawingml/2006/spreadsheetDrawing">
  <oneCellAnchor>
    <from>
      <col>8</col>
      <colOff>0</colOff>
      <row>0</row>
      <rowOff>0</rowOff>
    </from>
    <ext cx="1371600" cy="1371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2.xml><?xml version="1.0" encoding="utf-8"?>
<wsDr xmlns="http://schemas.openxmlformats.org/drawingml/2006/spreadsheetDrawing">
  <oneCellAnchor>
    <from>
      <col>5</col>
      <colOff>0</colOff>
      <row>0</row>
      <rowOff>0</rowOff>
    </from>
    <ext cx="1143000" cy="1143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3.xml><?xml version="1.0" encoding="utf-8"?>
<wsDr xmlns="http://schemas.openxmlformats.org/drawingml/2006/spreadsheetDrawing">
  <oneCellAnchor>
    <from>
      <col>5</col>
      <colOff>0</colOff>
      <row>0</row>
      <rowOff>0</rowOff>
    </from>
    <ext cx="1143000" cy="1143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4.xml><?xml version="1.0" encoding="utf-8"?>
<wsDr xmlns="http://schemas.openxmlformats.org/drawingml/2006/spreadsheetDrawing">
  <oneCellAnchor>
    <from>
      <col>5</col>
      <colOff>0</colOff>
      <row>0</row>
      <rowOff>0</rowOff>
    </from>
    <ext cx="1143000" cy="1143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5.xml><?xml version="1.0" encoding="utf-8"?>
<wsDr xmlns="http://schemas.openxmlformats.org/drawingml/2006/spreadsheetDrawing">
  <oneCellAnchor>
    <from>
      <col>5</col>
      <colOff>0</colOff>
      <row>0</row>
      <rowOff>0</rowOff>
    </from>
    <ext cx="1143000" cy="1143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16.xml><?xml version="1.0" encoding="utf-8"?>
<wsDr xmlns="http://schemas.openxmlformats.org/drawingml/2006/spreadsheetDrawing">
  <oneCellAnchor>
    <from>
      <col>5</col>
      <colOff>0</colOff>
      <row>0</row>
      <rowOff>0</rowOff>
    </from>
    <ext cx="1143000" cy="1143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_rels/sheet7.xml.rels><Relationships xmlns="http://schemas.openxmlformats.org/package/2006/relationships"><Relationship Type="http://schemas.openxmlformats.org/officeDocument/2006/relationships/drawing" Target="/xl/drawings/drawing5.xml" Id="rId1"/></Relationships>
</file>

<file path=xl/worksheets/_rels/sheet8.xml.rels><Relationships xmlns="http://schemas.openxmlformats.org/package/2006/relationships"><Relationship Type="http://schemas.openxmlformats.org/officeDocument/2006/relationships/drawing" Target="/xl/drawings/drawing6.xml" Id="rId1"/></Relationships>
</file>

<file path=xl/worksheets/_rels/sheet9.xml.rels><Relationships xmlns="http://schemas.openxmlformats.org/package/2006/relationships"><Relationship Type="http://schemas.openxmlformats.org/officeDocument/2006/relationships/drawing" Target="/xl/drawings/drawing7.xml" Id="rId1"/></Relationships>
</file>

<file path=xl/worksheets/_rels/sheet11.xml.rels><Relationships xmlns="http://schemas.openxmlformats.org/package/2006/relationships"><Relationship Type="http://schemas.openxmlformats.org/officeDocument/2006/relationships/drawing" Target="/xl/drawings/drawing8.xml" Id="rId1"/></Relationships>
</file>

<file path=xl/worksheets/_rels/sheet12.xml.rels><Relationships xmlns="http://schemas.openxmlformats.org/package/2006/relationships"><Relationship Type="http://schemas.openxmlformats.org/officeDocument/2006/relationships/drawing" Target="/xl/drawings/drawing9.xml" Id="rId1"/></Relationships>
</file>

<file path=xl/worksheets/_rels/sheet14.xml.rels><Relationships xmlns="http://schemas.openxmlformats.org/package/2006/relationships"><Relationship Type="http://schemas.openxmlformats.org/officeDocument/2006/relationships/drawing" Target="/xl/drawings/drawing10.xml" Id="rId1"/></Relationships>
</file>

<file path=xl/worksheets/_rels/sheet15.xml.rels><Relationships xmlns="http://schemas.openxmlformats.org/package/2006/relationships"><Relationship Type="http://schemas.openxmlformats.org/officeDocument/2006/relationships/drawing" Target="/xl/drawings/drawing11.xml" Id="rId1"/></Relationships>
</file>

<file path=xl/worksheets/_rels/sheet16.xml.rels><Relationships xmlns="http://schemas.openxmlformats.org/package/2006/relationships"><Relationship Type="http://schemas.openxmlformats.org/officeDocument/2006/relationships/drawing" Target="/xl/drawings/drawing12.xml" Id="rId1"/></Relationships>
</file>

<file path=xl/worksheets/_rels/sheet17.xml.rels><Relationships xmlns="http://schemas.openxmlformats.org/package/2006/relationships"><Relationship Type="http://schemas.openxmlformats.org/officeDocument/2006/relationships/drawing" Target="/xl/drawings/drawing13.xml" Id="rId1"/></Relationships>
</file>

<file path=xl/worksheets/_rels/sheet18.xml.rels><Relationships xmlns="http://schemas.openxmlformats.org/package/2006/relationships"><Relationship Type="http://schemas.openxmlformats.org/officeDocument/2006/relationships/drawing" Target="/xl/drawings/drawing14.xml" Id="rId1"/></Relationships>
</file>

<file path=xl/worksheets/_rels/sheet19.xml.rels><Relationships xmlns="http://schemas.openxmlformats.org/package/2006/relationships"><Relationship Type="http://schemas.openxmlformats.org/officeDocument/2006/relationships/drawing" Target="/xl/drawings/drawing15.xml" Id="rId1"/></Relationships>
</file>

<file path=xl/worksheets/_rels/sheet20.xml.rels><Relationships xmlns="http://schemas.openxmlformats.org/package/2006/relationships"><Relationship Type="http://schemas.openxmlformats.org/officeDocument/2006/relationships/drawing" Target="/xl/drawings/drawing16.xml" Id="rId1"/></Relationships>
</file>

<file path=xl/worksheets/sheet1.xml><?xml version="1.0" encoding="utf-8"?>
<worksheet xmlns="http://schemas.openxmlformats.org/spreadsheetml/2006/main">
  <sheetPr>
    <outlinePr summaryBelow="1" summaryRight="1"/>
    <pageSetUpPr fitToPage="1"/>
  </sheetPr>
  <dimension ref="A1:B30"/>
  <sheetViews>
    <sheetView workbookViewId="0">
      <selection activeCell="A1" sqref="A1"/>
    </sheetView>
  </sheetViews>
  <sheetFormatPr baseColWidth="8" defaultRowHeight="15"/>
  <cols>
    <col width="28" customWidth="1" min="1" max="1"/>
    <col width="95" customWidth="1" min="2" max="2"/>
  </cols>
  <sheetData>
    <row r="1">
      <c r="A1" s="1" t="inlineStr">
        <is>
          <t>H38 CONTRACTOR CALC</t>
        </is>
      </c>
    </row>
    <row r="2">
      <c r="A2" s="2" t="inlineStr">
        <is>
          <t>By Highway 38 Solutions  -  The back-of-the-envelope numbers every contractor runs, in one workbook - plus a quoting sheet for each trade</t>
        </is>
      </c>
    </row>
    <row r="4" ht="42" customHeight="1">
      <c r="A4" s="3" t="inlineStr">
        <is>
          <t>What this is</t>
        </is>
      </c>
      <c r="B4" s="4" t="inlineStr">
        <is>
          <t>The same calculators as the free H38 Contractor Calc web app, as a workbook you keep. Standard sheet: the numbers everyone runs. Then one sheet per trade with that trade's special tool, and one quoting sheet per trade built on the same bid math.</t>
        </is>
      </c>
    </row>
    <row r="5" ht="42" customHeight="1">
      <c r="A5" s="3" t="inlineStr">
        <is>
          <t>Start in this order</t>
        </is>
      </c>
      <c r="B5" s="4" t="inlineStr">
        <is>
          <t>1) Standard - job bids, break-even day rate, markup vs. margin, mileage, materials, amps/kW.  2) Your trade’s sheet - Electrical (conduit fill, voltage drop, Ohm’s law, ampacity chart), Plumbing (drain slope, water heaters, pipe volume &amp; flow), HVAC (duct CFM, tonnage, SEER savings, duct chart).  3) Your trade’s Quote sheet - price the whole job on lines like the ones you actually write up.</t>
        </is>
      </c>
    </row>
    <row r="6" ht="42" customHeight="1">
      <c r="A6" s="3" t="inlineStr">
        <is>
          <t>Yellow cells</t>
        </is>
      </c>
      <c r="B6" s="4" t="inlineStr">
        <is>
          <t>Yellow = you type here. White / grey cells are formulas - don't type over them, or that calculation will stop working. Percent cells: type them as percents (20%), not decimals.</t>
        </is>
      </c>
    </row>
    <row r="7" ht="42" customHeight="1">
      <c r="A7" s="3" t="inlineStr">
        <is>
          <t>Example data</t>
        </is>
      </c>
      <c r="B7" s="4" t="inlineStr">
        <is>
          <t>Every calculator opens with the same example numbers as the web app, so the two match side by side. Replace them with your shop's real numbers before quoting a customer.</t>
        </is>
      </c>
    </row>
    <row r="8" ht="42" customHeight="1">
      <c r="A8" s="3" t="inlineStr">
        <is>
          <t>Trade specials</t>
        </is>
      </c>
      <c r="B8" s="4" t="inlineStr">
        <is>
          <t>Electrical: NEC conduit fill, voltage drop, Ohm’s law &amp; power, and the NEC ampacity lookup chart. Plumbing: drain slope, water-heater sizing, pipe volume &amp; flow, and the Schedule 40 pipe chart. HVAC: duct CFM sizing, tonnage sizing, SEER savings, and the round-duct CFM chart. The business kit (bids, break-even, markup vs. margin, mileage, materials, amps/kW) lives on the Standard sheet - the app shows it on every trade tab; the book keeps it in one place so the sheets stay short.</t>
        </is>
      </c>
    </row>
    <row r="9" ht="42" customHeight="1">
      <c r="A9" s="3" t="inlineStr">
        <is>
          <t>Tax note</t>
        </is>
      </c>
      <c r="B9" s="4" t="inlineStr">
        <is>
          <t>Mileage uses the IRS standard rate shown on the Standard sheet (72.5 cents per mile for 2026, per the app). Check irs.gov for the current rate for your tax year. This workbook helps you run numbers; it is not tax or code advice.</t>
        </is>
      </c>
    </row>
    <row r="10" ht="42" customHeight="1">
      <c r="A10" s="3" t="inlineStr">
        <is>
          <t>Estimates only</t>
        </is>
      </c>
      <c r="B10" s="4" t="inlineStr">
        <is>
          <t>Results are estimates for planning and quoting conversations - verify load calculations, code requirements, and tax figures against the governing standard (Manual J, the NEC, IRS publications) and your own books before you build, bid, or file on them.</t>
        </is>
      </c>
    </row>
    <row r="12">
      <c r="A12" s="5" t="inlineStr">
        <is>
          <t>Sheets:  Standard  -  Electrical  -  Plumbing  -  HVAC  -  Electrical Quote  -  Plumbing Quote  -  HVAC Quote</t>
        </is>
      </c>
    </row>
    <row r="14">
      <c r="A14" s="14" t="inlineStr">
        <is>
          <t>QUICK REFERENCE SHEETS</t>
        </is>
      </c>
    </row>
    <row r="15" ht="60" customHeight="1">
      <c r="A15" s="14" t="inlineStr">
        <is>
          <t>Standard Reference</t>
        </is>
      </c>
      <c r="B15" s="55" t="inlineStr">
        <is>
          <t>Markup-to-margin table (see what a 25% markup really keeps), concrete coverage per yard by slab thickness, real lumber sizes vs. the tag, and a sixteenths fraction-to-decimal chart.</t>
        </is>
      </c>
    </row>
    <row r="16" ht="60" customHeight="1">
      <c r="A16" s="14" t="inlineStr">
        <is>
          <t>Electrical Reference</t>
        </is>
      </c>
      <c r="B16" s="55" t="inlineStr">
        <is>
          <t>Breaker-and-wire pairings for the circuits you actually run, how many THHN wires fit in each EMT size, and box-fill allowances with the common box volumes.</t>
        </is>
      </c>
    </row>
    <row r="17" ht="75" customHeight="1">
      <c r="A17" s="14" t="inlineStr">
        <is>
          <t>Plumbing Reference</t>
        </is>
      </c>
      <c r="B17" s="55" t="inlineStr">
        <is>
          <t>Real pipe inside diameters and flow for PVC, copper and PEX, drain slope by pipe size with the drop over a run, drainage fixture units (IPC 709.1) and building-drain capacity (IPC 710.1(1)), trap-arm lengths, and head/pressure numbers.</t>
        </is>
      </c>
    </row>
    <row r="18" ht="60" customHeight="1">
      <c r="A18" s="14" t="inlineStr">
        <is>
          <t>HVAC Reference</t>
        </is>
      </c>
      <c r="B18" s="55" t="inlineStr">
        <is>
          <t>Refrigerant pressure-temperature chart for R-410A and R-22 plus R-454B service anchors, rectangular-to-round duct equivalents with CFM, flex-duct guidance, common filter sizes and charging rules of thumb.</t>
        </is>
      </c>
    </row>
    <row r="19" ht="60" customHeight="1">
      <c r="A19" s="14" t="inlineStr">
        <is>
          <t>Reference sources</t>
        </is>
      </c>
      <c r="B19" s="55" t="inlineStr">
        <is>
          <t>Tables come from the standards the trades work to: NEC Tables 310.16, 314.16 and Chapter 9; IPC Tables 704.1, 709.1, 710.1(1) and 909.1; ASTM B88 copper dimensions; NIST PS 20 lumber sizes; ASHRAE duct-equivalent equation; manufacturer refrigerant charts. Local amendments and equipment nameplates win over any quick table.</t>
        </is>
      </c>
    </row>
    <row r="21">
      <c r="A21" s="14" t="inlineStr">
        <is>
          <t>MORE CALCULATORS</t>
        </is>
      </c>
    </row>
    <row r="22">
      <c r="A22" s="14" t="inlineStr">
        <is>
          <t>Business Tools</t>
        </is>
      </c>
      <c r="B22" s="9" t="inlineStr">
        <is>
          <t>Labor burden - what an hour of labor really costs and the billable rate at your margin; equipment owning cost per hour; and a job-cost tracker (budget vs. actual).</t>
        </is>
      </c>
    </row>
    <row r="23">
      <c r="A23" s="14" t="inlineStr">
        <is>
          <t>Service &amp; Motors</t>
        </is>
      </c>
      <c r="B23" s="9" t="inlineStr">
        <is>
          <t>NEC 220 dwelling service-load calculation (standard method) and NEC 430 motor circuit sizing - breaker, conductor and overloads straight from the code tables.</t>
        </is>
      </c>
    </row>
    <row r="24">
      <c r="A24" s="14" t="inlineStr">
        <is>
          <t>Generator &amp; Lighting</t>
        </is>
      </c>
      <c r="B24" s="9" t="inlineStr">
        <is>
          <t>Standby generator sizing estimator (running watts plus the biggest motor surge) and a lumens-method lighting layout with IES footcandle targets by room.</t>
        </is>
      </c>
    </row>
    <row r="25">
      <c r="A25" s="14" t="inlineStr">
        <is>
          <t>Conduit Fill Plus</t>
        </is>
      </c>
      <c r="B25" s="9" t="inlineStr">
        <is>
          <t>The conduit-fill calculator for every raceway in the table - EMT, IMC, RMC, PVC Schedule 40 and 80, FMC and LFMC - with the full NEC Chapter 9 area table.</t>
        </is>
      </c>
    </row>
    <row r="26">
      <c r="A26" s="14" t="inlineStr">
        <is>
          <t>Plumbing Sizing</t>
        </is>
      </c>
      <c r="B26" s="9" t="inlineStr">
        <is>
          <t>Water-supply sizing by IPC Appendix E fixture units, gas line sizing by the longest-length method (IFGC table), expansion-tank sizing, and a sump-pump basin and head estimator.</t>
        </is>
      </c>
    </row>
    <row r="27">
      <c r="A27" s="14" t="inlineStr">
        <is>
          <t>HVAC Loads</t>
        </is>
      </c>
      <c r="B27" s="9" t="inlineStr">
        <is>
          <t>A simplified heating and cooling load estimate (labeled estimate-only - not a Manual J), refrigerant charge-by-weight, ASHRAE 62.2 ventilation rates, and an AFUE savings comparison.</t>
        </is>
      </c>
    </row>
    <row r="28">
      <c r="A28" s="14" t="inlineStr">
        <is>
          <t>New-sheet sources</t>
        </is>
      </c>
      <c r="B28" s="9" t="inlineStr">
        <is>
          <t>NEC Articles 220 and 430, Chapter 9 Tables 1, 4 and 5, and Table 310.16; IFGC Table 402.4(2); IPC Appendix E Tables E103.3(2) and E103.3(3); ASHRAE 62.2; the Hazen-Williams friction formula. Code tables transcribed from the published standards - your adopted edition and local amendments govern.</t>
        </is>
      </c>
    </row>
    <row r="30">
      <c r="A30" s="14" t="inlineStr">
        <is>
          <t>More charts</t>
        </is>
      </c>
      <c r="B30" s="9" t="inlineStr">
        <is>
          <t>New quick-reference charts added across the book: conduit bending (multipliers, shrink, take-up) and wire resistance (NEC Table 8) on Electrical Reference; roof pitch and stair charts on Standard Reference; and on HVAC Reference the R-454B anchor table is now the full bubble-and-dew PT chart, plus typical refrigerant line sizes by tonnage.</t>
        </is>
      </c>
    </row>
  </sheetData>
  <mergeCells count="3">
    <mergeCell ref="A2:B2"/>
    <mergeCell ref="A1:B1"/>
    <mergeCell ref="A12:B12"/>
  </mergeCells>
  <printOptions horizontalCentered="1"/>
  <pageMargins left="0.75" right="0.75" top="1" bottom="1" header="0.5" footer="0.5"/>
  <pageSetup orientation="portrait" fitToHeight="1" fitToWidth="1"/>
  <headerFooter>
    <oddHeader>&amp;C&amp;11 Highway 38 Solutions</oddHeader>
    <oddFooter/>
    <evenHeader>&amp;C&amp;11 Highway 38 Solutions</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122"/>
  <sheetViews>
    <sheetView workbookViewId="0">
      <selection activeCell="A1" sqref="A1"/>
    </sheetView>
  </sheetViews>
  <sheetFormatPr baseColWidth="8" defaultRowHeight="15"/>
  <cols>
    <col width="42" customWidth="1" min="1" max="1"/>
    <col width="18" customWidth="1" min="2" max="2"/>
    <col width="62" customWidth="1" min="3" max="3"/>
  </cols>
  <sheetData>
    <row r="1" ht="24" customHeight="1">
      <c r="A1" s="6" t="inlineStr">
        <is>
          <t>STANDARD - The calculators everyone gets</t>
        </is>
      </c>
    </row>
    <row r="2">
      <c r="A2" s="7" t="inlineStr">
        <is>
          <t>Job bids, break-even, markup vs. margin, mileage, materials, and amps to kilowatts - the standard kit, whatever your trade.</t>
        </is>
      </c>
    </row>
    <row r="4" ht="20" customHeight="1">
      <c r="A4" s="8" t="inlineStr">
        <is>
          <t>1 - JOB BID PRICER - price a job from your real costs</t>
        </is>
      </c>
    </row>
    <row r="5">
      <c r="A5" s="9" t="inlineStr">
        <is>
          <t>Labor hours</t>
        </is>
      </c>
      <c r="B5" s="10" t="n">
        <v>16</v>
      </c>
    </row>
    <row r="6">
      <c r="A6" s="9" t="inlineStr">
        <is>
          <t>Labor cost per hour ($, wage + burden)</t>
        </is>
      </c>
      <c r="B6" s="11" t="n">
        <v>45</v>
      </c>
    </row>
    <row r="7">
      <c r="A7" s="9" t="inlineStr">
        <is>
          <t>Materials cost ($)</t>
        </is>
      </c>
      <c r="B7" s="11" t="n">
        <v>850</v>
      </c>
    </row>
    <row r="8">
      <c r="A8" s="9" t="inlineStr">
        <is>
          <t>Materials markup</t>
        </is>
      </c>
      <c r="B8" s="12" t="n">
        <v>0.2</v>
      </c>
    </row>
    <row r="9">
      <c r="A9" s="9" t="inlineStr">
        <is>
          <t>Subs, rentals &amp; permits ($)</t>
        </is>
      </c>
      <c r="B9" s="11" t="n">
        <v>0</v>
      </c>
    </row>
    <row r="10">
      <c r="A10" s="9" t="inlineStr">
        <is>
          <t>Overhead on the job</t>
        </is>
      </c>
      <c r="B10" s="12" t="n">
        <v>0.1</v>
      </c>
    </row>
    <row r="11">
      <c r="A11" s="9" t="inlineStr">
        <is>
          <t>Profit markup</t>
        </is>
      </c>
      <c r="B11" s="12" t="n">
        <v>0.15</v>
      </c>
    </row>
    <row r="12">
      <c r="A12" s="9" t="inlineStr">
        <is>
          <t>Labor</t>
        </is>
      </c>
      <c r="B12" s="13">
        <f>B5*B6</f>
        <v/>
      </c>
    </row>
    <row r="13">
      <c r="A13" s="9" t="inlineStr">
        <is>
          <t>Materials (with markup)</t>
        </is>
      </c>
      <c r="B13" s="13">
        <f>B7*(1+B8)</f>
        <v/>
      </c>
    </row>
    <row r="14">
      <c r="A14" s="9" t="inlineStr">
        <is>
          <t>Direct costs subtotal</t>
        </is>
      </c>
      <c r="B14" s="13">
        <f>B12+B13+B9</f>
        <v/>
      </c>
    </row>
    <row r="15">
      <c r="A15" s="9" t="inlineStr">
        <is>
          <t>Overhead amount</t>
        </is>
      </c>
      <c r="B15" s="13">
        <f>B14*B10</f>
        <v/>
      </c>
    </row>
    <row r="16">
      <c r="A16" s="9" t="inlineStr">
        <is>
          <t>Profit amount</t>
        </is>
      </c>
      <c r="B16" s="13">
        <f>(B14+B15)*B11</f>
        <v/>
      </c>
    </row>
    <row r="17">
      <c r="A17" s="14" t="inlineStr">
        <is>
          <t>BID PRICE</t>
        </is>
      </c>
      <c r="B17" s="15">
        <f>B14+B15+B16</f>
        <v/>
      </c>
    </row>
    <row r="18">
      <c r="A18" s="9" t="inlineStr">
        <is>
          <t>Effective rate per labor hour</t>
        </is>
      </c>
      <c r="B18" s="13">
        <f>IF(B5&gt;0,B17/B5,0)</f>
        <v/>
      </c>
    </row>
    <row r="19">
      <c r="A19" s="9" t="inlineStr">
        <is>
          <t>Gross margin on the bid</t>
        </is>
      </c>
      <c r="B19" s="16">
        <f>IF(B17&gt;0,B16/B17,0)</f>
        <v/>
      </c>
    </row>
    <row r="20" ht="28" customHeight="1">
      <c r="A20" s="17" t="inlineStr">
        <is>
          <t>Overhead % covers the costs that aren't on this job - truck, insurance, phone, shop, office time. If you don't know yours, the Break-Even Day Rate below will back into it.</t>
        </is>
      </c>
    </row>
    <row r="22" ht="20" customHeight="1">
      <c r="A22" s="8" t="inlineStr">
        <is>
          <t>2 - BREAK-EVEN DAY RATE - what a crew day has to bring in</t>
        </is>
      </c>
    </row>
    <row r="23">
      <c r="A23" s="9" t="inlineStr">
        <is>
          <t>Crew size (people)</t>
        </is>
      </c>
      <c r="B23" s="10" t="n">
        <v>2</v>
      </c>
    </row>
    <row r="24">
      <c r="A24" s="9" t="inlineStr">
        <is>
          <t>Average wage per person ($)</t>
        </is>
      </c>
      <c r="B24" s="11" t="n">
        <v>32</v>
      </c>
    </row>
    <row r="25">
      <c r="A25" s="9" t="inlineStr">
        <is>
          <t>Payroll burden (taxes, comp, benefits)</t>
        </is>
      </c>
      <c r="B25" s="12" t="n">
        <v>0.25</v>
      </c>
    </row>
    <row r="26">
      <c r="A26" s="9" t="inlineStr">
        <is>
          <t>Hours per day</t>
        </is>
      </c>
      <c r="B26" s="18" t="n">
        <v>8</v>
      </c>
    </row>
    <row r="27">
      <c r="A27" s="9" t="inlineStr">
        <is>
          <t>Billable days per month</t>
        </is>
      </c>
      <c r="B27" s="10" t="n">
        <v>20</v>
      </c>
    </row>
    <row r="28">
      <c r="A28" s="9" t="inlineStr">
        <is>
          <t>Monthly overhead ($)</t>
        </is>
      </c>
      <c r="B28" s="11" t="n">
        <v>4500</v>
      </c>
    </row>
    <row r="29">
      <c r="A29" s="9" t="inlineStr">
        <is>
          <t>Target profit margin</t>
        </is>
      </c>
      <c r="B29" s="12" t="n">
        <v>0.15</v>
      </c>
    </row>
    <row r="30">
      <c r="A30" s="9" t="inlineStr">
        <is>
          <t>Labor cost per day</t>
        </is>
      </c>
      <c r="B30" s="13">
        <f>MAX(B23,1)*B24*(1+B25)*B26</f>
        <v/>
      </c>
    </row>
    <row r="31">
      <c r="A31" s="9" t="inlineStr">
        <is>
          <t>Overhead per day</t>
        </is>
      </c>
      <c r="B31" s="13">
        <f>B28/MAX(B27,1)</f>
        <v/>
      </c>
    </row>
    <row r="32">
      <c r="A32" s="9" t="inlineStr">
        <is>
          <t>Break-even per day (no profit)</t>
        </is>
      </c>
      <c r="B32" s="13">
        <f>B30+B31</f>
        <v/>
      </c>
    </row>
    <row r="33">
      <c r="A33" s="14" t="inlineStr">
        <is>
          <t>CHARGE PER CREW DAY</t>
        </is>
      </c>
      <c r="B33" s="15">
        <f>IF(B29&gt;0,B32/(1-MIN(B29,0.95)),B32)</f>
        <v/>
      </c>
    </row>
    <row r="34">
      <c r="A34" s="9" t="inlineStr">
        <is>
          <t>Charge per tech-hour</t>
        </is>
      </c>
      <c r="B34" s="13">
        <f>B33/IF(MAX(B23,1)*B26=0,1,MAX(B23,1)*B26)</f>
        <v/>
      </c>
    </row>
    <row r="35">
      <c r="A35" s="9" t="inlineStr">
        <is>
          <t>Revenue needed per month</t>
        </is>
      </c>
      <c r="B35" s="13">
        <f>B33*MAX(B27,1)</f>
        <v/>
      </c>
    </row>
    <row r="36" ht="28" customHeight="1">
      <c r="A36" s="17" t="inlineStr">
        <is>
          <t>Billable days are the honest number - days the crew is actually on paying work. Rain days, callbacks, and estimate runs don't bill.</t>
        </is>
      </c>
    </row>
    <row r="38" ht="20" customHeight="1">
      <c r="A38" s="8" t="inlineStr">
        <is>
          <t>3 - MARKUP / MARGIN - they are not the same number</t>
        </is>
      </c>
    </row>
    <row r="39">
      <c r="A39" s="14" t="inlineStr">
        <is>
          <t>From markup:</t>
        </is>
      </c>
    </row>
    <row r="40">
      <c r="A40" s="9" t="inlineStr">
        <is>
          <t>Your cost ($)</t>
        </is>
      </c>
      <c r="B40" s="11" t="n">
        <v>1000</v>
      </c>
    </row>
    <row r="41">
      <c r="A41" s="9" t="inlineStr">
        <is>
          <t>Markup on cost</t>
        </is>
      </c>
      <c r="B41" s="12" t="n">
        <v>0.25</v>
      </c>
    </row>
    <row r="42">
      <c r="A42" s="14" t="inlineStr">
        <is>
          <t>Selling price</t>
        </is>
      </c>
      <c r="B42" s="15">
        <f>B40*(1+B41)</f>
        <v/>
      </c>
    </row>
    <row r="43">
      <c r="A43" s="9" t="inlineStr">
        <is>
          <t>Margin on price</t>
        </is>
      </c>
      <c r="B43" s="16">
        <f>IF(B42&gt;0,(B42-B40)/B42,0)</f>
        <v/>
      </c>
    </row>
    <row r="44">
      <c r="A44" s="9" t="inlineStr">
        <is>
          <t>Profit kept</t>
        </is>
      </c>
      <c r="B44" s="13">
        <f>B42-B40</f>
        <v/>
      </c>
    </row>
    <row r="45">
      <c r="A45" s="14" t="inlineStr">
        <is>
          <t>From margin:</t>
        </is>
      </c>
    </row>
    <row r="46">
      <c r="A46" s="9" t="inlineStr">
        <is>
          <t>Your cost ($) - same cost as above</t>
        </is>
      </c>
      <c r="B46" s="13">
        <f>B40</f>
        <v/>
      </c>
    </row>
    <row r="47">
      <c r="A47" s="9" t="inlineStr">
        <is>
          <t>Margin on price</t>
        </is>
      </c>
      <c r="B47" s="12" t="n">
        <v>0.2</v>
      </c>
    </row>
    <row r="48">
      <c r="A48" s="14" t="inlineStr">
        <is>
          <t>Selling price</t>
        </is>
      </c>
      <c r="B48" s="15">
        <f>IF(B47&gt;=1,0,B46/(1-MIN(B47,0.99)))</f>
        <v/>
      </c>
    </row>
    <row r="49">
      <c r="A49" s="9" t="inlineStr">
        <is>
          <t>Markup on cost</t>
        </is>
      </c>
      <c r="B49" s="16">
        <f>IF(B46&gt;0,(B48-B46)/B46,0)</f>
        <v/>
      </c>
    </row>
    <row r="50">
      <c r="A50" s="9" t="inlineStr">
        <is>
          <t>Profit kept</t>
        </is>
      </c>
      <c r="B50" s="13">
        <f>B48-B46</f>
        <v/>
      </c>
    </row>
    <row r="51" ht="28" customHeight="1">
      <c r="A51" s="17" t="inlineStr">
        <is>
          <t>The classic trap: marking everything up 20% feels safe, but that's only a 16.7% margin - before overhead eats it. Price on margin when the number has to survive the month. (The app rounds the solved percent to one decimal; the book keeps full precision.)</t>
        </is>
      </c>
    </row>
    <row r="53" ht="20" customHeight="1">
      <c r="A53" s="8" t="inlineStr">
        <is>
          <t>4 - MILEAGE DEDUCTION - business miles in a personal vehicle</t>
        </is>
      </c>
    </row>
    <row r="54">
      <c r="A54" s="9" t="inlineStr">
        <is>
          <t>Miles per trip (round trip)</t>
        </is>
      </c>
      <c r="B54" s="18" t="n">
        <v>46</v>
      </c>
    </row>
    <row r="55">
      <c r="A55" s="9" t="inlineStr">
        <is>
          <t>Trips</t>
        </is>
      </c>
      <c r="B55" s="10" t="n">
        <v>60</v>
      </c>
    </row>
    <row r="56">
      <c r="A56" s="9" t="inlineStr">
        <is>
          <t>Rate per mile ($, IRS standard)</t>
        </is>
      </c>
      <c r="B56" s="19" t="n">
        <v>0.725</v>
      </c>
    </row>
    <row r="57">
      <c r="A57" s="9" t="inlineStr">
        <is>
          <t>Total business miles</t>
        </is>
      </c>
      <c r="B57" s="20">
        <f>B54*B55</f>
        <v/>
      </c>
    </row>
    <row r="58">
      <c r="A58" s="14" t="inlineStr">
        <is>
          <t>DEDUCTION VALUE</t>
        </is>
      </c>
      <c r="B58" s="15">
        <f>B57*B56</f>
        <v/>
      </c>
    </row>
    <row r="59">
      <c r="A59" s="9" t="inlineStr">
        <is>
          <t>Value per trip</t>
        </is>
      </c>
      <c r="B59" s="13">
        <f>B54*B56</f>
        <v/>
      </c>
    </row>
    <row r="60" ht="28" customHeight="1">
      <c r="A60" s="17" t="inlineStr">
        <is>
          <t>Rate shown is the IRS standard mileage rate for 2026: 72.5 cents per mile - edit it if your tax year or books use a different figure, and check irs.gov for the current rate. It's a deduction against taxable income, not cash back - and it only counts if the miles are logged.</t>
        </is>
      </c>
    </row>
    <row r="62" ht="20" customHeight="1">
      <c r="A62" s="8" t="inlineStr">
        <is>
          <t>5 - MATERIAL ESTIMATOR - order quantities, waste included</t>
        </is>
      </c>
    </row>
    <row r="63">
      <c r="A63" s="14" t="inlineStr">
        <is>
          <t>Concrete:</t>
        </is>
      </c>
    </row>
    <row r="64">
      <c r="A64" s="9" t="inlineStr">
        <is>
          <t>Length (ft)</t>
        </is>
      </c>
      <c r="B64" s="18" t="n">
        <v>10</v>
      </c>
    </row>
    <row r="65">
      <c r="A65" s="9" t="inlineStr">
        <is>
          <t>Width (ft)</t>
        </is>
      </c>
      <c r="B65" s="18" t="n">
        <v>10</v>
      </c>
    </row>
    <row r="66">
      <c r="A66" s="9" t="inlineStr">
        <is>
          <t>Thickness / depth (in)</t>
        </is>
      </c>
      <c r="B66" s="18" t="n">
        <v>4</v>
      </c>
    </row>
    <row r="67">
      <c r="A67" s="9" t="inlineStr">
        <is>
          <t>Extra for waste &amp; uneven grade</t>
        </is>
      </c>
      <c r="B67" s="12" t="n">
        <v>0.1</v>
      </c>
    </row>
    <row r="68">
      <c r="A68" s="9" t="inlineStr">
        <is>
          <t>Volume with waste (cubic ft)</t>
        </is>
      </c>
      <c r="B68" s="21">
        <f>B64*B65*(B66/12)*(1+B67)</f>
        <v/>
      </c>
    </row>
    <row r="69">
      <c r="A69" s="9" t="inlineStr">
        <is>
          <t>Exact volume (cubic yards, no waste)</t>
        </is>
      </c>
      <c r="B69" s="21">
        <f>B64*B65*(B66/12)/27</f>
        <v/>
      </c>
    </row>
    <row r="70">
      <c r="A70" s="14" t="inlineStr">
        <is>
          <t>CONCRETE TO ORDER (cubic yards)</t>
        </is>
      </c>
      <c r="B70" s="22">
        <f>B69*(1+B67)</f>
        <v/>
      </c>
    </row>
    <row r="71">
      <c r="A71" s="9" t="inlineStr">
        <is>
          <t>Or 80-lb bags (0.6 cu ft each)</t>
        </is>
      </c>
      <c r="B71" s="20">
        <f>CEILING(B68/0.6,1)</f>
        <v/>
      </c>
    </row>
    <row r="72">
      <c r="A72" s="9" t="inlineStr">
        <is>
          <t>Or 60-lb bags (0.45 cu ft each)</t>
        </is>
      </c>
      <c r="B72" s="20">
        <f>CEILING(B68/0.45,1)</f>
        <v/>
      </c>
    </row>
    <row r="74">
      <c r="A74" s="14" t="inlineStr">
        <is>
          <t>Paint:</t>
        </is>
      </c>
    </row>
    <row r="75">
      <c r="A75" s="9" t="inlineStr">
        <is>
          <t>Room length (ft)</t>
        </is>
      </c>
      <c r="B75" s="18" t="n">
        <v>12</v>
      </c>
    </row>
    <row r="76">
      <c r="A76" s="9" t="inlineStr">
        <is>
          <t>Room width (ft)</t>
        </is>
      </c>
      <c r="B76" s="18" t="n">
        <v>12</v>
      </c>
    </row>
    <row r="77">
      <c r="A77" s="9" t="inlineStr">
        <is>
          <t>Ceiling height (ft)</t>
        </is>
      </c>
      <c r="B77" s="18" t="n">
        <v>8</v>
      </c>
    </row>
    <row r="78">
      <c r="A78" s="9" t="inlineStr">
        <is>
          <t>Painting</t>
        </is>
      </c>
      <c r="B78" s="23" t="inlineStr">
        <is>
          <t>Walls only</t>
        </is>
      </c>
      <c r="C78" s="24" t="inlineStr">
        <is>
          <t>Pick from the dropdown: Walls only, or Walls + ceiling</t>
        </is>
      </c>
    </row>
    <row r="79">
      <c r="A79" s="9" t="inlineStr">
        <is>
          <t>Doors (21 sq ft each)</t>
        </is>
      </c>
      <c r="B79" s="10" t="n">
        <v>1</v>
      </c>
    </row>
    <row r="80">
      <c r="A80" s="9" t="inlineStr">
        <is>
          <t>Windows (15 sq ft each)</t>
        </is>
      </c>
      <c r="B80" s="10" t="n">
        <v>2</v>
      </c>
    </row>
    <row r="81">
      <c r="A81" s="9" t="inlineStr">
        <is>
          <t>Coats</t>
        </is>
      </c>
      <c r="B81" s="10" t="n">
        <v>2</v>
      </c>
    </row>
    <row r="82">
      <c r="A82" s="9" t="inlineStr">
        <is>
          <t>Coverage per gallon (sq ft)</t>
        </is>
      </c>
      <c r="B82" s="10" t="n">
        <v>350</v>
      </c>
    </row>
    <row r="83">
      <c r="A83" s="9" t="inlineStr">
        <is>
          <t>Paintable area (sq ft)</t>
        </is>
      </c>
      <c r="B83" s="20">
        <f>MAX(0,2*(B75+B76)*B77+IF(B78="Walls + ceiling",B75*B76,0)-B79*21-B80*15)</f>
        <v/>
      </c>
    </row>
    <row r="84">
      <c r="A84" s="14" t="inlineStr">
        <is>
          <t>PAINT NEEDED (gallons)</t>
        </is>
      </c>
      <c r="B84" s="25">
        <f>IF(B82&gt;0,B83*B81/B82,0)</f>
        <v/>
      </c>
    </row>
    <row r="85">
      <c r="A85" s="9" t="inlineStr">
        <is>
          <t>Buy (whole gallons)</t>
        </is>
      </c>
      <c r="B85" s="20">
        <f>CEILING(B84,1)</f>
        <v/>
      </c>
    </row>
    <row r="87">
      <c r="A87" s="14" t="inlineStr">
        <is>
          <t>Drywall:</t>
        </is>
      </c>
    </row>
    <row r="88">
      <c r="A88" s="9" t="inlineStr">
        <is>
          <t>Room length (ft)</t>
        </is>
      </c>
      <c r="B88" s="18" t="n">
        <v>12</v>
      </c>
    </row>
    <row r="89">
      <c r="A89" s="9" t="inlineStr">
        <is>
          <t>Room width (ft)</t>
        </is>
      </c>
      <c r="B89" s="18" t="n">
        <v>12</v>
      </c>
    </row>
    <row r="90">
      <c r="A90" s="9" t="inlineStr">
        <is>
          <t>Ceiling height (ft)</t>
        </is>
      </c>
      <c r="B90" s="18" t="n">
        <v>8</v>
      </c>
    </row>
    <row r="91">
      <c r="A91" s="9" t="inlineStr">
        <is>
          <t>Covering</t>
        </is>
      </c>
      <c r="B91" s="23" t="inlineStr">
        <is>
          <t>Walls + ceiling</t>
        </is>
      </c>
      <c r="C91" s="24" t="inlineStr">
        <is>
          <t>Pick from the dropdown</t>
        </is>
      </c>
    </row>
    <row r="92">
      <c r="A92" s="9" t="inlineStr">
        <is>
          <t>Sheet size (sq ft: 32 = 4x8, 48 = 4x12)</t>
        </is>
      </c>
      <c r="B92" s="10" t="n">
        <v>32</v>
      </c>
    </row>
    <row r="93">
      <c r="A93" s="9" t="inlineStr">
        <is>
          <t>Waste &amp; cuts</t>
        </is>
      </c>
      <c r="B93" s="12" t="n">
        <v>0.1</v>
      </c>
    </row>
    <row r="94">
      <c r="A94" s="9" t="inlineStr">
        <is>
          <t>Surface to cover (sq ft)</t>
        </is>
      </c>
      <c r="B94" s="20">
        <f>2*(B88+B89)*B90+IF(B91="Walls + ceiling",B88*B89,0)</f>
        <v/>
      </c>
    </row>
    <row r="95">
      <c r="A95" s="9" t="inlineStr">
        <is>
          <t>With waste figured in (sq ft)</t>
        </is>
      </c>
      <c r="B95" s="20">
        <f>B94*(1+B93)</f>
        <v/>
      </c>
    </row>
    <row r="96">
      <c r="A96" s="14" t="inlineStr">
        <is>
          <t>SHEETS TO BUY</t>
        </is>
      </c>
      <c r="B96" s="26">
        <f>IF(B92&gt;0,CEILING(B95/B92,1),0)</f>
        <v/>
      </c>
    </row>
    <row r="98">
      <c r="A98" s="14" t="inlineStr">
        <is>
          <t>Flooring:</t>
        </is>
      </c>
    </row>
    <row r="99">
      <c r="A99" s="9" t="inlineStr">
        <is>
          <t>Room length (ft)</t>
        </is>
      </c>
      <c r="B99" s="18" t="n">
        <v>12</v>
      </c>
    </row>
    <row r="100">
      <c r="A100" s="9" t="inlineStr">
        <is>
          <t>Room width (ft)</t>
        </is>
      </c>
      <c r="B100" s="18" t="n">
        <v>15</v>
      </c>
    </row>
    <row r="101">
      <c r="A101" s="9" t="inlineStr">
        <is>
          <t>Waste (10% straight lay, 15% diagonal)</t>
        </is>
      </c>
      <c r="B101" s="12" t="n">
        <v>0.1</v>
      </c>
    </row>
    <row r="102">
      <c r="A102" s="9" t="inlineStr">
        <is>
          <t>Coverage per box (sq ft)</t>
        </is>
      </c>
      <c r="B102" s="10" t="n">
        <v>20</v>
      </c>
    </row>
    <row r="103">
      <c r="A103" s="9" t="inlineStr">
        <is>
          <t>Floor area (sq ft)</t>
        </is>
      </c>
      <c r="B103" s="20">
        <f>B99*B100</f>
        <v/>
      </c>
    </row>
    <row r="104">
      <c r="A104" s="9" t="inlineStr">
        <is>
          <t>Material to buy, with waste (sq ft)</t>
        </is>
      </c>
      <c r="B104" s="20">
        <f>B103*(1+B101)</f>
        <v/>
      </c>
    </row>
    <row r="105">
      <c r="A105" s="14" t="inlineStr">
        <is>
          <t>BOXES TO BUY</t>
        </is>
      </c>
      <c r="B105" s="26">
        <f>IF(B102&gt;0,CEILING(B104/B102,1),0)</f>
        <v/>
      </c>
    </row>
    <row r="106" ht="28" customHeight="1">
      <c r="A106" s="17" t="inlineStr">
        <is>
          <t>For a footing, concrete length is the whole trench run and width x thickness is the trench cross-section. Ready-mix is sold by the cubic yard - the waste extra is cheaper than a second truck.</t>
        </is>
      </c>
    </row>
    <row r="108" ht="20" customHeight="1">
      <c r="A108" s="8" t="inlineStr">
        <is>
          <t>6 - AMPS / KILOWATTS - a plain conversion, standard for everyone</t>
        </is>
      </c>
    </row>
    <row r="109">
      <c r="A109" s="9" t="inlineStr">
        <is>
          <t>Service (1 = single phase, 3 = three phase)</t>
        </is>
      </c>
      <c r="B109" s="10" t="n">
        <v>1</v>
      </c>
      <c r="C109" s="24" t="inlineStr">
        <is>
          <t>Pick 1 or 3 from the dropdown</t>
        </is>
      </c>
    </row>
    <row r="110">
      <c r="A110" s="9" t="inlineStr">
        <is>
          <t>Volts</t>
        </is>
      </c>
      <c r="B110" s="10" t="n">
        <v>240</v>
      </c>
    </row>
    <row r="111">
      <c r="A111" s="9" t="inlineStr">
        <is>
          <t>Power factor (1.0 heaters, 0.8-0.9 motors)</t>
        </is>
      </c>
      <c r="B111" s="27" t="n">
        <v>1</v>
      </c>
    </row>
    <row r="112">
      <c r="A112" s="9" t="inlineStr">
        <is>
          <t>Power factor used (out-of-range resets to 1.0)</t>
        </is>
      </c>
      <c r="B112" s="21">
        <f>IF(OR(B111&lt;=0,B111&gt;1),1,B111)</f>
        <v/>
      </c>
    </row>
    <row r="113">
      <c r="A113" s="9" t="inlineStr">
        <is>
          <t>Phase factor (sqrt(3) on three phase)</t>
        </is>
      </c>
      <c r="B113" s="21">
        <f>IF(B109=3,SQRT(3),1)</f>
        <v/>
      </c>
    </row>
    <row r="114">
      <c r="A114" s="14" t="inlineStr">
        <is>
          <t>From amps:</t>
        </is>
      </c>
    </row>
    <row r="115">
      <c r="A115" s="9" t="inlineStr">
        <is>
          <t>Amps</t>
        </is>
      </c>
      <c r="B115" s="18" t="n">
        <v>30</v>
      </c>
    </row>
    <row r="116">
      <c r="A116" s="14" t="inlineStr">
        <is>
          <t>LOAD (kW)</t>
        </is>
      </c>
      <c r="B116" s="22">
        <f>B113*B110*B115*B112/1000</f>
        <v/>
      </c>
    </row>
    <row r="117">
      <c r="A117" s="9" t="inlineStr">
        <is>
          <t>Apparent power (VA)</t>
        </is>
      </c>
      <c r="B117" s="20">
        <f>B113*B110*B115</f>
        <v/>
      </c>
    </row>
    <row r="118">
      <c r="A118" s="14" t="inlineStr">
        <is>
          <t>From kilowatts:</t>
        </is>
      </c>
    </row>
    <row r="119">
      <c r="A119" s="9" t="inlineStr">
        <is>
          <t>Kilowatts</t>
        </is>
      </c>
      <c r="B119" s="27" t="n">
        <v>7.2</v>
      </c>
    </row>
    <row r="120">
      <c r="A120" s="14" t="inlineStr">
        <is>
          <t>DRAW (amps)</t>
        </is>
      </c>
      <c r="B120" s="25">
        <f>IF(B110&gt;0,B119*1000/(B113*B110*B112),0)</f>
        <v/>
      </c>
    </row>
    <row r="121">
      <c r="A121" s="9" t="inlineStr">
        <is>
          <t>Apparent power (VA)</t>
        </is>
      </c>
      <c r="B121" s="20">
        <f>B113*B110*B120</f>
        <v/>
      </c>
    </row>
    <row r="122" ht="28" customHeight="1">
      <c r="A122" s="17" t="inlineStr">
        <is>
          <t>The generator and service-size question: add up the kW, then check it against the panel. Continuous loads get sized at 125%.</t>
        </is>
      </c>
    </row>
  </sheetData>
  <mergeCells count="14">
    <mergeCell ref="A60:C60"/>
    <mergeCell ref="A36:C36"/>
    <mergeCell ref="A108:C108"/>
    <mergeCell ref="A1:C1"/>
    <mergeCell ref="A22:C22"/>
    <mergeCell ref="A62:C62"/>
    <mergeCell ref="A106:C106"/>
    <mergeCell ref="A122:C122"/>
    <mergeCell ref="A53:C53"/>
    <mergeCell ref="A4:C4"/>
    <mergeCell ref="A20:C20"/>
    <mergeCell ref="A38:C38"/>
    <mergeCell ref="A2:C2"/>
    <mergeCell ref="A51:C51"/>
  </mergeCells>
  <dataValidations count="3">
    <dataValidation sqref="B78" showDropDown="0" showInputMessage="0" showErrorMessage="0" allowBlank="0" type="list">
      <formula1>"Walls only,Walls + ceiling"</formula1>
    </dataValidation>
    <dataValidation sqref="B91" showDropDown="0" showInputMessage="0" showErrorMessage="0" allowBlank="0" type="list">
      <formula1>"Walls only,Walls + ceiling"</formula1>
    </dataValidation>
    <dataValidation sqref="B109" showDropDown="0" showInputMessage="0" showErrorMessage="0" allowBlank="0" type="list">
      <formula1>"1,3"</formula1>
    </dataValidation>
  </dataValidations>
  <printOptions horizontalCentered="1"/>
  <pageMargins left="0.75" right="0.75" top="1" bottom="1" header="0.5" footer="0.5"/>
  <pageSetup orientation="portrait" fitToWidth="1"/>
  <headerFooter>
    <oddHeader>&amp;C&amp;11 Highway 38 Solutions</oddHeader>
    <oddFooter/>
    <evenHeader>&amp;C&amp;11 Highway 38 Solutions</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131"/>
  <sheetViews>
    <sheetView workbookViewId="0">
      <selection activeCell="A1" sqref="A1"/>
    </sheetView>
  </sheetViews>
  <sheetFormatPr baseColWidth="8" defaultRowHeight="15"/>
  <cols>
    <col width="40" customWidth="1" min="1" max="1"/>
    <col width="20" customWidth="1" min="2" max="2"/>
    <col width="20" customWidth="1" min="3" max="3"/>
    <col width="34" customWidth="1" min="4" max="4"/>
    <col width="20" customWidth="1" min="5" max="5"/>
  </cols>
  <sheetData>
    <row r="1" ht="24" customHeight="1">
      <c r="A1" s="56" t="inlineStr">
        <is>
          <t>STANDARD REFERENCE - Markup to margin, coverage &amp; lumber sizes</t>
        </is>
      </c>
    </row>
    <row r="2" ht="28" customHeight="1">
      <c r="A2" s="57" t="inlineStr">
        <is>
          <t>The look-it-up numbers behind the Standard calculators - conversions, coverage and real lumber sizes. Nothing to type: these are the answers, not the math.</t>
        </is>
      </c>
    </row>
    <row r="4" ht="20" customHeight="1">
      <c r="A4" s="35" t="inlineStr">
        <is>
          <t>MARKUP TO MARGIN - the same profit, two ways to say it</t>
        </is>
      </c>
    </row>
    <row r="5">
      <c r="A5" s="14" t="inlineStr">
        <is>
          <t>Markup on cost</t>
        </is>
      </c>
      <c r="B5" s="14" t="inlineStr">
        <is>
          <t>Price on a $100 cost</t>
        </is>
      </c>
      <c r="C5" s="14" t="inlineStr">
        <is>
          <t>Margin on price</t>
        </is>
      </c>
    </row>
    <row r="6">
      <c r="A6" s="58" t="n">
        <v>0.05</v>
      </c>
      <c r="B6" s="59">
        <f>100*(1+A6)</f>
        <v/>
      </c>
      <c r="C6" s="60">
        <f>A6/(1+A6)</f>
        <v/>
      </c>
    </row>
    <row r="7">
      <c r="A7" s="58" t="n">
        <v>0.1</v>
      </c>
      <c r="B7" s="59">
        <f>100*(1+A7)</f>
        <v/>
      </c>
      <c r="C7" s="60">
        <f>A7/(1+A7)</f>
        <v/>
      </c>
    </row>
    <row r="8">
      <c r="A8" s="58" t="n">
        <v>0.15</v>
      </c>
      <c r="B8" s="59">
        <f>100*(1+A8)</f>
        <v/>
      </c>
      <c r="C8" s="60">
        <f>A8/(1+A8)</f>
        <v/>
      </c>
    </row>
    <row r="9">
      <c r="A9" s="58" t="n">
        <v>0.2</v>
      </c>
      <c r="B9" s="59">
        <f>100*(1+A9)</f>
        <v/>
      </c>
      <c r="C9" s="60">
        <f>A9/(1+A9)</f>
        <v/>
      </c>
    </row>
    <row r="10">
      <c r="A10" s="58" t="n">
        <v>0.25</v>
      </c>
      <c r="B10" s="59">
        <f>100*(1+A10)</f>
        <v/>
      </c>
      <c r="C10" s="60">
        <f>A10/(1+A10)</f>
        <v/>
      </c>
    </row>
    <row r="11">
      <c r="A11" s="58" t="n">
        <v>0.3</v>
      </c>
      <c r="B11" s="59">
        <f>100*(1+A11)</f>
        <v/>
      </c>
      <c r="C11" s="60">
        <f>A11/(1+A11)</f>
        <v/>
      </c>
    </row>
    <row r="12">
      <c r="A12" s="58" t="n">
        <v>0.35</v>
      </c>
      <c r="B12" s="59">
        <f>100*(1+A12)</f>
        <v/>
      </c>
      <c r="C12" s="60">
        <f>A12/(1+A12)</f>
        <v/>
      </c>
    </row>
    <row r="13">
      <c r="A13" s="58" t="n">
        <v>0.4</v>
      </c>
      <c r="B13" s="59">
        <f>100*(1+A13)</f>
        <v/>
      </c>
      <c r="C13" s="60">
        <f>A13/(1+A13)</f>
        <v/>
      </c>
    </row>
    <row r="14">
      <c r="A14" s="58" t="n">
        <v>0.45</v>
      </c>
      <c r="B14" s="59">
        <f>100*(1+A14)</f>
        <v/>
      </c>
      <c r="C14" s="60">
        <f>A14/(1+A14)</f>
        <v/>
      </c>
    </row>
    <row r="15">
      <c r="A15" s="58" t="n">
        <v>0.5</v>
      </c>
      <c r="B15" s="59">
        <f>100*(1+A15)</f>
        <v/>
      </c>
      <c r="C15" s="60">
        <f>A15/(1+A15)</f>
        <v/>
      </c>
    </row>
    <row r="16">
      <c r="A16" s="58" t="n">
        <v>0.6</v>
      </c>
      <c r="B16" s="59">
        <f>100*(1+A16)</f>
        <v/>
      </c>
      <c r="C16" s="60">
        <f>A16/(1+A16)</f>
        <v/>
      </c>
    </row>
    <row r="17">
      <c r="A17" s="58" t="n">
        <v>0.75</v>
      </c>
      <c r="B17" s="59">
        <f>100*(1+A17)</f>
        <v/>
      </c>
      <c r="C17" s="60">
        <f>A17/(1+A17)</f>
        <v/>
      </c>
    </row>
    <row r="18">
      <c r="A18" s="58" t="n">
        <v>1</v>
      </c>
      <c r="B18" s="59">
        <f>100*(1+A18)</f>
        <v/>
      </c>
      <c r="C18" s="60">
        <f>A18/(1+A18)</f>
        <v/>
      </c>
    </row>
    <row r="19" ht="42" customHeight="1">
      <c r="A19" s="61" t="inlineStr">
        <is>
          <t>The trap the Markup / Margin calculator on the Standard sheet is built around: a 25% markup is only a 20% margin. If the number in your head is the profit you keep, work from the margin column.</t>
        </is>
      </c>
    </row>
    <row r="21" ht="20" customHeight="1">
      <c r="A21" s="35" t="inlineStr">
        <is>
          <t>CONCRETE COVERAGE - square feet one cubic yard covers</t>
        </is>
      </c>
    </row>
    <row r="22">
      <c r="A22" s="14" t="inlineStr">
        <is>
          <t>Slab thickness (in)</t>
        </is>
      </c>
      <c r="B22" s="14" t="inlineStr">
        <is>
          <t>Sq ft per cubic yard</t>
        </is>
      </c>
    </row>
    <row r="23">
      <c r="A23" s="62" t="n">
        <v>2</v>
      </c>
      <c r="B23" s="63">
        <f>324/A23</f>
        <v/>
      </c>
    </row>
    <row r="24">
      <c r="A24" s="62" t="n">
        <v>3</v>
      </c>
      <c r="B24" s="63">
        <f>324/A24</f>
        <v/>
      </c>
    </row>
    <row r="25">
      <c r="A25" s="62" t="n">
        <v>3.5</v>
      </c>
      <c r="B25" s="63">
        <f>324/A25</f>
        <v/>
      </c>
    </row>
    <row r="26">
      <c r="A26" s="62" t="n">
        <v>4</v>
      </c>
      <c r="B26" s="63">
        <f>324/A26</f>
        <v/>
      </c>
    </row>
    <row r="27">
      <c r="A27" s="62" t="n">
        <v>5</v>
      </c>
      <c r="B27" s="63">
        <f>324/A27</f>
        <v/>
      </c>
    </row>
    <row r="28">
      <c r="A28" s="62" t="n">
        <v>6</v>
      </c>
      <c r="B28" s="63">
        <f>324/A28</f>
        <v/>
      </c>
    </row>
    <row r="29">
      <c r="A29" s="62" t="n">
        <v>8</v>
      </c>
      <c r="B29" s="63">
        <f>324/A29</f>
        <v/>
      </c>
    </row>
    <row r="30">
      <c r="A30" s="62" t="n">
        <v>10</v>
      </c>
      <c r="B30" s="63">
        <f>324/A30</f>
        <v/>
      </c>
    </row>
    <row r="31">
      <c r="A31" s="62" t="n">
        <v>12</v>
      </c>
      <c r="B31" s="63">
        <f>324/A31</f>
        <v/>
      </c>
    </row>
    <row r="32" ht="28" customHeight="1">
      <c r="A32" s="61" t="inlineStr">
        <is>
          <t>Exact coverage before waste - the Material Estimator on the Standard sheet adds your waste allowance and works the same math from your slab dimensions.</t>
        </is>
      </c>
    </row>
    <row r="34" ht="20" customHeight="1">
      <c r="A34" s="35" t="inlineStr">
        <is>
          <t>LUMBER - the size on the tag vs. the size on the tape</t>
        </is>
      </c>
    </row>
    <row r="35">
      <c r="A35" s="14" t="inlineStr">
        <is>
          <t>Nominal size</t>
        </is>
      </c>
      <c r="B35" s="14" t="inlineStr">
        <is>
          <t>Actual thickness (in)</t>
        </is>
      </c>
      <c r="C35" s="14" t="inlineStr">
        <is>
          <t>Actual width (in)</t>
        </is>
      </c>
    </row>
    <row r="36">
      <c r="A36" s="9" t="inlineStr">
        <is>
          <t>1×4</t>
        </is>
      </c>
      <c r="B36" s="64" t="n">
        <v>0.75</v>
      </c>
      <c r="C36" s="64" t="n">
        <v>3.5</v>
      </c>
    </row>
    <row r="37">
      <c r="A37" s="9" t="inlineStr">
        <is>
          <t>1×6</t>
        </is>
      </c>
      <c r="B37" s="64" t="n">
        <v>0.75</v>
      </c>
      <c r="C37" s="64" t="n">
        <v>5.5</v>
      </c>
    </row>
    <row r="38">
      <c r="A38" s="9" t="inlineStr">
        <is>
          <t>1×8</t>
        </is>
      </c>
      <c r="B38" s="64" t="n">
        <v>0.75</v>
      </c>
      <c r="C38" s="64" t="n">
        <v>7.25</v>
      </c>
    </row>
    <row r="39">
      <c r="A39" s="9" t="inlineStr">
        <is>
          <t>1×10</t>
        </is>
      </c>
      <c r="B39" s="64" t="n">
        <v>0.75</v>
      </c>
      <c r="C39" s="64" t="n">
        <v>9.25</v>
      </c>
    </row>
    <row r="40">
      <c r="A40" s="9" t="inlineStr">
        <is>
          <t>1×12</t>
        </is>
      </c>
      <c r="B40" s="64" t="n">
        <v>0.75</v>
      </c>
      <c r="C40" s="64" t="n">
        <v>11.25</v>
      </c>
    </row>
    <row r="41">
      <c r="A41" s="9" t="inlineStr">
        <is>
          <t>2×4</t>
        </is>
      </c>
      <c r="B41" s="64" t="n">
        <v>1.5</v>
      </c>
      <c r="C41" s="64" t="n">
        <v>3.5</v>
      </c>
    </row>
    <row r="42">
      <c r="A42" s="9" t="inlineStr">
        <is>
          <t>2×6</t>
        </is>
      </c>
      <c r="B42" s="64" t="n">
        <v>1.5</v>
      </c>
      <c r="C42" s="64" t="n">
        <v>5.5</v>
      </c>
    </row>
    <row r="43">
      <c r="A43" s="9" t="inlineStr">
        <is>
          <t>2×8</t>
        </is>
      </c>
      <c r="B43" s="64" t="n">
        <v>1.5</v>
      </c>
      <c r="C43" s="64" t="n">
        <v>7.25</v>
      </c>
    </row>
    <row r="44">
      <c r="A44" s="9" t="inlineStr">
        <is>
          <t>2×10</t>
        </is>
      </c>
      <c r="B44" s="64" t="n">
        <v>1.5</v>
      </c>
      <c r="C44" s="64" t="n">
        <v>9.25</v>
      </c>
    </row>
    <row r="45">
      <c r="A45" s="9" t="inlineStr">
        <is>
          <t>2×12</t>
        </is>
      </c>
      <c r="B45" s="64" t="n">
        <v>1.5</v>
      </c>
      <c r="C45" s="64" t="n">
        <v>11.25</v>
      </c>
    </row>
    <row r="46">
      <c r="A46" s="9" t="inlineStr">
        <is>
          <t>4×4</t>
        </is>
      </c>
      <c r="B46" s="64" t="n">
        <v>3.5</v>
      </c>
      <c r="C46" s="64" t="n">
        <v>3.5</v>
      </c>
    </row>
    <row r="47">
      <c r="A47" s="9" t="inlineStr">
        <is>
          <t>4×6</t>
        </is>
      </c>
      <c r="B47" s="64" t="n">
        <v>3.5</v>
      </c>
      <c r="C47" s="64" t="n">
        <v>5.5</v>
      </c>
    </row>
    <row r="48">
      <c r="A48" s="9" t="inlineStr">
        <is>
          <t>6×6</t>
        </is>
      </c>
      <c r="B48" s="64" t="n">
        <v>5.5</v>
      </c>
      <c r="C48" s="64" t="n">
        <v>5.5</v>
      </c>
    </row>
    <row r="49" ht="42" customHeight="1">
      <c r="A49" s="61" t="inlineStr">
        <is>
          <t>Sheet goods: a 4×8 sheet covers 32 sq ft whatever it is. Plywood thickness runs shy of the tag too - 3/4 in plywood actually measures 23/32 in. Board feet = thickness (in) × width (in) × length (ft) ÷ 12, so a 2×6 eight feet long is 8 board feet.</t>
        </is>
      </c>
    </row>
    <row r="51" ht="20" customHeight="1">
      <c r="A51" s="35" t="inlineStr">
        <is>
          <t>FRACTIONS TO DECIMALS - sixteenths</t>
        </is>
      </c>
    </row>
    <row r="52">
      <c r="A52" s="14" t="inlineStr">
        <is>
          <t>Fraction (in)</t>
        </is>
      </c>
      <c r="B52" s="14" t="inlineStr">
        <is>
          <t>Decimal (in)</t>
        </is>
      </c>
      <c r="C52" s="14" t="inlineStr">
        <is>
          <t>Millimeters</t>
        </is>
      </c>
    </row>
    <row r="53">
      <c r="A53" s="9" t="inlineStr">
        <is>
          <t>1/16</t>
        </is>
      </c>
      <c r="B53" s="65">
        <f>1/16</f>
        <v/>
      </c>
      <c r="C53" s="64">
        <f>B53*25.4</f>
        <v/>
      </c>
    </row>
    <row r="54">
      <c r="A54" s="9" t="inlineStr">
        <is>
          <t>2/16</t>
        </is>
      </c>
      <c r="B54" s="65">
        <f>2/16</f>
        <v/>
      </c>
      <c r="C54" s="64">
        <f>B54*25.4</f>
        <v/>
      </c>
    </row>
    <row r="55">
      <c r="A55" s="9" t="inlineStr">
        <is>
          <t>3/16</t>
        </is>
      </c>
      <c r="B55" s="65">
        <f>3/16</f>
        <v/>
      </c>
      <c r="C55" s="64">
        <f>B55*25.4</f>
        <v/>
      </c>
    </row>
    <row r="56">
      <c r="A56" s="9" t="inlineStr">
        <is>
          <t>4/16</t>
        </is>
      </c>
      <c r="B56" s="65">
        <f>4/16</f>
        <v/>
      </c>
      <c r="C56" s="64">
        <f>B56*25.4</f>
        <v/>
      </c>
    </row>
    <row r="57">
      <c r="A57" s="9" t="inlineStr">
        <is>
          <t>5/16</t>
        </is>
      </c>
      <c r="B57" s="65">
        <f>5/16</f>
        <v/>
      </c>
      <c r="C57" s="64">
        <f>B57*25.4</f>
        <v/>
      </c>
    </row>
    <row r="58">
      <c r="A58" s="9" t="inlineStr">
        <is>
          <t>6/16</t>
        </is>
      </c>
      <c r="B58" s="65">
        <f>6/16</f>
        <v/>
      </c>
      <c r="C58" s="64">
        <f>B58*25.4</f>
        <v/>
      </c>
    </row>
    <row r="59">
      <c r="A59" s="9" t="inlineStr">
        <is>
          <t>7/16</t>
        </is>
      </c>
      <c r="B59" s="65">
        <f>7/16</f>
        <v/>
      </c>
      <c r="C59" s="64">
        <f>B59*25.4</f>
        <v/>
      </c>
    </row>
    <row r="60">
      <c r="A60" s="9" t="inlineStr">
        <is>
          <t>8/16</t>
        </is>
      </c>
      <c r="B60" s="65">
        <f>8/16</f>
        <v/>
      </c>
      <c r="C60" s="64">
        <f>B60*25.4</f>
        <v/>
      </c>
    </row>
    <row r="61">
      <c r="A61" s="9" t="inlineStr">
        <is>
          <t>9/16</t>
        </is>
      </c>
      <c r="B61" s="65">
        <f>9/16</f>
        <v/>
      </c>
      <c r="C61" s="64">
        <f>B61*25.4</f>
        <v/>
      </c>
    </row>
    <row r="62">
      <c r="A62" s="9" t="inlineStr">
        <is>
          <t>10/16</t>
        </is>
      </c>
      <c r="B62" s="65">
        <f>10/16</f>
        <v/>
      </c>
      <c r="C62" s="64">
        <f>B62*25.4</f>
        <v/>
      </c>
    </row>
    <row r="63">
      <c r="A63" s="9" t="inlineStr">
        <is>
          <t>11/16</t>
        </is>
      </c>
      <c r="B63" s="65">
        <f>11/16</f>
        <v/>
      </c>
      <c r="C63" s="64">
        <f>B63*25.4</f>
        <v/>
      </c>
    </row>
    <row r="64">
      <c r="A64" s="9" t="inlineStr">
        <is>
          <t>12/16</t>
        </is>
      </c>
      <c r="B64" s="65">
        <f>12/16</f>
        <v/>
      </c>
      <c r="C64" s="64">
        <f>B64*25.4</f>
        <v/>
      </c>
    </row>
    <row r="65">
      <c r="A65" s="9" t="inlineStr">
        <is>
          <t>13/16</t>
        </is>
      </c>
      <c r="B65" s="65">
        <f>13/16</f>
        <v/>
      </c>
      <c r="C65" s="64">
        <f>B65*25.4</f>
        <v/>
      </c>
    </row>
    <row r="66">
      <c r="A66" s="9" t="inlineStr">
        <is>
          <t>14/16</t>
        </is>
      </c>
      <c r="B66" s="65">
        <f>14/16</f>
        <v/>
      </c>
      <c r="C66" s="64">
        <f>B66*25.4</f>
        <v/>
      </c>
    </row>
    <row r="67">
      <c r="A67" s="9" t="inlineStr">
        <is>
          <t>15/16</t>
        </is>
      </c>
      <c r="B67" s="65">
        <f>15/16</f>
        <v/>
      </c>
      <c r="C67" s="64">
        <f>B67*25.4</f>
        <v/>
      </c>
    </row>
    <row r="68">
      <c r="A68" s="9" t="inlineStr">
        <is>
          <t>1</t>
        </is>
      </c>
      <c r="B68" s="65">
        <f>16/16</f>
        <v/>
      </c>
      <c r="C68" s="64">
        <f>B68*25.4</f>
        <v/>
      </c>
    </row>
    <row r="70" ht="42" customHeight="1">
      <c r="A70" s="61" t="inlineStr">
        <is>
          <t>Sources: markup/margin and concrete coverage are straight arithmetic (coverage = 324 ÷ thickness in inches). Lumber actual sizes per the NIST PS 20 softwood lumber standard. Fractions are exact.</t>
        </is>
      </c>
    </row>
    <row r="72">
      <c r="A72" s="35" t="inlineStr">
        <is>
          <t>ROOF PITCH - angle, slope factor &amp; rafter multiplier by pitch</t>
        </is>
      </c>
    </row>
    <row r="73">
      <c r="A73" s="14" t="inlineStr">
        <is>
          <t>Pitch (rise / 12 run)</t>
        </is>
      </c>
      <c r="B73" s="14" t="inlineStr">
        <is>
          <t>Angle (°)</t>
        </is>
      </c>
      <c r="C73" s="14" t="inlineStr">
        <is>
          <t>Slope factor (roof area)</t>
        </is>
      </c>
      <c r="D73" s="14" t="inlineStr">
        <is>
          <t>Rafter length per ft of run</t>
        </is>
      </c>
    </row>
    <row r="74">
      <c r="A74" s="9" t="inlineStr">
        <is>
          <t>1/12</t>
        </is>
      </c>
      <c r="B74" s="62">
        <f>DEGREES(ATAN(1/12))</f>
        <v/>
      </c>
      <c r="C74" s="67">
        <f>SQRT(1+(1/12)^2)</f>
        <v/>
      </c>
      <c r="D74" s="67">
        <f>SQRT(1+(1/12)^2)</f>
        <v/>
      </c>
    </row>
    <row r="75">
      <c r="A75" s="9" t="inlineStr">
        <is>
          <t>2/12</t>
        </is>
      </c>
      <c r="B75" s="62">
        <f>DEGREES(ATAN(2/12))</f>
        <v/>
      </c>
      <c r="C75" s="67">
        <f>SQRT(1+(2/12)^2)</f>
        <v/>
      </c>
      <c r="D75" s="67">
        <f>SQRT(1+(2/12)^2)</f>
        <v/>
      </c>
    </row>
    <row r="76">
      <c r="A76" s="9" t="inlineStr">
        <is>
          <t>3/12</t>
        </is>
      </c>
      <c r="B76" s="62">
        <f>DEGREES(ATAN(3/12))</f>
        <v/>
      </c>
      <c r="C76" s="67">
        <f>SQRT(1+(3/12)^2)</f>
        <v/>
      </c>
      <c r="D76" s="67">
        <f>SQRT(1+(3/12)^2)</f>
        <v/>
      </c>
    </row>
    <row r="77">
      <c r="A77" s="9" t="inlineStr">
        <is>
          <t>4/12</t>
        </is>
      </c>
      <c r="B77" s="62">
        <f>DEGREES(ATAN(4/12))</f>
        <v/>
      </c>
      <c r="C77" s="67">
        <f>SQRT(1+(4/12)^2)</f>
        <v/>
      </c>
      <c r="D77" s="67">
        <f>SQRT(1+(4/12)^2)</f>
        <v/>
      </c>
    </row>
    <row r="78">
      <c r="A78" s="9" t="inlineStr">
        <is>
          <t>5/12</t>
        </is>
      </c>
      <c r="B78" s="62">
        <f>DEGREES(ATAN(5/12))</f>
        <v/>
      </c>
      <c r="C78" s="67">
        <f>SQRT(1+(5/12)^2)</f>
        <v/>
      </c>
      <c r="D78" s="67">
        <f>SQRT(1+(5/12)^2)</f>
        <v/>
      </c>
    </row>
    <row r="79">
      <c r="A79" s="9" t="inlineStr">
        <is>
          <t>6/12</t>
        </is>
      </c>
      <c r="B79" s="62">
        <f>DEGREES(ATAN(6/12))</f>
        <v/>
      </c>
      <c r="C79" s="67">
        <f>SQRT(1+(6/12)^2)</f>
        <v/>
      </c>
      <c r="D79" s="67">
        <f>SQRT(1+(6/12)^2)</f>
        <v/>
      </c>
    </row>
    <row r="80">
      <c r="A80" s="9" t="inlineStr">
        <is>
          <t>7/12</t>
        </is>
      </c>
      <c r="B80" s="62">
        <f>DEGREES(ATAN(7/12))</f>
        <v/>
      </c>
      <c r="C80" s="67">
        <f>SQRT(1+(7/12)^2)</f>
        <v/>
      </c>
      <c r="D80" s="67">
        <f>SQRT(1+(7/12)^2)</f>
        <v/>
      </c>
    </row>
    <row r="81">
      <c r="A81" s="9" t="inlineStr">
        <is>
          <t>8/12</t>
        </is>
      </c>
      <c r="B81" s="62">
        <f>DEGREES(ATAN(8/12))</f>
        <v/>
      </c>
      <c r="C81" s="67">
        <f>SQRT(1+(8/12)^2)</f>
        <v/>
      </c>
      <c r="D81" s="67">
        <f>SQRT(1+(8/12)^2)</f>
        <v/>
      </c>
    </row>
    <row r="82">
      <c r="A82" s="9" t="inlineStr">
        <is>
          <t>9/12</t>
        </is>
      </c>
      <c r="B82" s="62">
        <f>DEGREES(ATAN(9/12))</f>
        <v/>
      </c>
      <c r="C82" s="67">
        <f>SQRT(1+(9/12)^2)</f>
        <v/>
      </c>
      <c r="D82" s="67">
        <f>SQRT(1+(9/12)^2)</f>
        <v/>
      </c>
    </row>
    <row r="83">
      <c r="A83" s="9" t="inlineStr">
        <is>
          <t>10/12</t>
        </is>
      </c>
      <c r="B83" s="62">
        <f>DEGREES(ATAN(10/12))</f>
        <v/>
      </c>
      <c r="C83" s="67">
        <f>SQRT(1+(10/12)^2)</f>
        <v/>
      </c>
      <c r="D83" s="67">
        <f>SQRT(1+(10/12)^2)</f>
        <v/>
      </c>
    </row>
    <row r="84">
      <c r="A84" s="9" t="inlineStr">
        <is>
          <t>11/12</t>
        </is>
      </c>
      <c r="B84" s="62">
        <f>DEGREES(ATAN(11/12))</f>
        <v/>
      </c>
      <c r="C84" s="67">
        <f>SQRT(1+(11/12)^2)</f>
        <v/>
      </c>
      <c r="D84" s="67">
        <f>SQRT(1+(11/12)^2)</f>
        <v/>
      </c>
    </row>
    <row r="85">
      <c r="A85" s="9" t="inlineStr">
        <is>
          <t>12/12</t>
        </is>
      </c>
      <c r="B85" s="62">
        <f>DEGREES(ATAN(12/12))</f>
        <v/>
      </c>
      <c r="C85" s="67">
        <f>SQRT(1+(12/12)^2)</f>
        <v/>
      </c>
      <c r="D85" s="67">
        <f>SQRT(1+(12/12)^2)</f>
        <v/>
      </c>
    </row>
    <row r="86">
      <c r="A86" s="9" t="inlineStr">
        <is>
          <t>13/12</t>
        </is>
      </c>
      <c r="B86" s="62">
        <f>DEGREES(ATAN(13/12))</f>
        <v/>
      </c>
      <c r="C86" s="67">
        <f>SQRT(1+(13/12)^2)</f>
        <v/>
      </c>
      <c r="D86" s="67">
        <f>SQRT(1+(13/12)^2)</f>
        <v/>
      </c>
    </row>
    <row r="87">
      <c r="A87" s="9" t="inlineStr">
        <is>
          <t>14/12</t>
        </is>
      </c>
      <c r="B87" s="62">
        <f>DEGREES(ATAN(14/12))</f>
        <v/>
      </c>
      <c r="C87" s="67">
        <f>SQRT(1+(14/12)^2)</f>
        <v/>
      </c>
      <c r="D87" s="67">
        <f>SQRT(1+(14/12)^2)</f>
        <v/>
      </c>
    </row>
    <row r="88">
      <c r="A88" s="9" t="inlineStr">
        <is>
          <t>15/12</t>
        </is>
      </c>
      <c r="B88" s="62">
        <f>DEGREES(ATAN(15/12))</f>
        <v/>
      </c>
      <c r="C88" s="67">
        <f>SQRT(1+(15/12)^2)</f>
        <v/>
      </c>
      <c r="D88" s="67">
        <f>SQRT(1+(15/12)^2)</f>
        <v/>
      </c>
    </row>
    <row r="89">
      <c r="A89" s="9" t="inlineStr">
        <is>
          <t>16/12</t>
        </is>
      </c>
      <c r="B89" s="62">
        <f>DEGREES(ATAN(16/12))</f>
        <v/>
      </c>
      <c r="C89" s="67">
        <f>SQRT(1+(16/12)^2)</f>
        <v/>
      </c>
      <c r="D89" s="67">
        <f>SQRT(1+(16/12)^2)</f>
        <v/>
      </c>
    </row>
    <row r="90">
      <c r="A90" s="9" t="inlineStr">
        <is>
          <t>17/12</t>
        </is>
      </c>
      <c r="B90" s="62">
        <f>DEGREES(ATAN(17/12))</f>
        <v/>
      </c>
      <c r="C90" s="67">
        <f>SQRT(1+(17/12)^2)</f>
        <v/>
      </c>
      <c r="D90" s="67">
        <f>SQRT(1+(17/12)^2)</f>
        <v/>
      </c>
    </row>
    <row r="91">
      <c r="A91" s="9" t="inlineStr">
        <is>
          <t>18/12</t>
        </is>
      </c>
      <c r="B91" s="62">
        <f>DEGREES(ATAN(18/12))</f>
        <v/>
      </c>
      <c r="C91" s="67">
        <f>SQRT(1+(18/12)^2)</f>
        <v/>
      </c>
      <c r="D91" s="67">
        <f>SQRT(1+(18/12)^2)</f>
        <v/>
      </c>
    </row>
    <row r="92">
      <c r="A92" s="9" t="inlineStr">
        <is>
          <t>19/12</t>
        </is>
      </c>
      <c r="B92" s="62">
        <f>DEGREES(ATAN(19/12))</f>
        <v/>
      </c>
      <c r="C92" s="67">
        <f>SQRT(1+(19/12)^2)</f>
        <v/>
      </c>
      <c r="D92" s="67">
        <f>SQRT(1+(19/12)^2)</f>
        <v/>
      </c>
    </row>
    <row r="93">
      <c r="A93" s="9" t="inlineStr">
        <is>
          <t>20/12</t>
        </is>
      </c>
      <c r="B93" s="62">
        <f>DEGREES(ATAN(20/12))</f>
        <v/>
      </c>
      <c r="C93" s="67">
        <f>SQRT(1+(20/12)^2)</f>
        <v/>
      </c>
      <c r="D93" s="67">
        <f>SQRT(1+(20/12)^2)</f>
        <v/>
      </c>
    </row>
    <row r="94">
      <c r="A94" s="9" t="inlineStr">
        <is>
          <t>21/12</t>
        </is>
      </c>
      <c r="B94" s="62">
        <f>DEGREES(ATAN(21/12))</f>
        <v/>
      </c>
      <c r="C94" s="67">
        <f>SQRT(1+(21/12)^2)</f>
        <v/>
      </c>
      <c r="D94" s="67">
        <f>SQRT(1+(21/12)^2)</f>
        <v/>
      </c>
    </row>
    <row r="95">
      <c r="A95" s="9" t="inlineStr">
        <is>
          <t>22/12</t>
        </is>
      </c>
      <c r="B95" s="62">
        <f>DEGREES(ATAN(22/12))</f>
        <v/>
      </c>
      <c r="C95" s="67">
        <f>SQRT(1+(22/12)^2)</f>
        <v/>
      </c>
      <c r="D95" s="67">
        <f>SQRT(1+(22/12)^2)</f>
        <v/>
      </c>
    </row>
    <row r="96">
      <c r="A96" s="9" t="inlineStr">
        <is>
          <t>23/12</t>
        </is>
      </c>
      <c r="B96" s="62">
        <f>DEGREES(ATAN(23/12))</f>
        <v/>
      </c>
      <c r="C96" s="67">
        <f>SQRT(1+(23/12)^2)</f>
        <v/>
      </c>
      <c r="D96" s="67">
        <f>SQRT(1+(23/12)^2)</f>
        <v/>
      </c>
    </row>
    <row r="97">
      <c r="A97" s="9" t="inlineStr">
        <is>
          <t>24/12</t>
        </is>
      </c>
      <c r="B97" s="62">
        <f>DEGREES(ATAN(24/12))</f>
        <v/>
      </c>
      <c r="C97" s="67">
        <f>SQRT(1+(24/12)^2)</f>
        <v/>
      </c>
      <c r="D97" s="67">
        <f>SQRT(1+(24/12)^2)</f>
        <v/>
      </c>
    </row>
    <row r="98" ht="42" customHeight="1">
      <c r="A98" s="43" t="inlineStr">
        <is>
          <t>Slope factor turns flat (plan) area into real roof area for shingles, metal and underlayment: 2,000 sq ft of floor plan at 6/12 is 2,000 × 1.118 = 2,236 sq ft of roof - about 22.4 squares before waste. The rafter column is the common-rafter length for each foot of horizontal run (before ridge thickness, overhang and birdsmouth adjustments). Hip and valley rafters run longer - figure them with the 17-in-per-foot rule at 45° plan angle, not this table.</t>
        </is>
      </c>
    </row>
    <row r="99" ht="30" customHeight="1">
      <c r="A99" s="43" t="inlineStr">
        <is>
          <t>Source: straight geometry - angle = arctan(rise ÷ 12); slope factor = √(1 + (rise ÷ 12)²), the same factors printed in standard roofing tables.</t>
        </is>
      </c>
    </row>
    <row r="101">
      <c r="A101" s="35" t="inlineStr">
        <is>
          <t>STAIRS - rise &amp; run combinations that work (residential, IRC R311.7)</t>
        </is>
      </c>
    </row>
    <row r="102">
      <c r="A102" s="14" t="inlineStr">
        <is>
          <t>Riser (in)</t>
        </is>
      </c>
      <c r="B102" s="14" t="inlineStr">
        <is>
          <t>Tread (in)</t>
        </is>
      </c>
      <c r="C102" s="14" t="inlineStr">
        <is>
          <t>Riser + tread</t>
        </is>
      </c>
      <c r="D102" s="14" t="inlineStr">
        <is>
          <t>2 × riser + tread</t>
        </is>
      </c>
    </row>
    <row r="103">
      <c r="A103" s="9" t="n">
        <v>7.75</v>
      </c>
      <c r="B103" s="9" t="n">
        <v>10</v>
      </c>
      <c r="C103" s="9">
        <f>A103+B103</f>
        <v/>
      </c>
      <c r="D103" s="9">
        <f>2*A103+B103</f>
        <v/>
      </c>
    </row>
    <row r="104">
      <c r="A104" s="9" t="n">
        <v>7.75</v>
      </c>
      <c r="B104" s="9" t="n">
        <v>10.5</v>
      </c>
      <c r="C104" s="9">
        <f>A104+B104</f>
        <v/>
      </c>
      <c r="D104" s="9">
        <f>2*A104+B104</f>
        <v/>
      </c>
    </row>
    <row r="105">
      <c r="A105" s="9" t="n">
        <v>7.5</v>
      </c>
      <c r="B105" s="9" t="n">
        <v>10.5</v>
      </c>
      <c r="C105" s="9">
        <f>A105+B105</f>
        <v/>
      </c>
      <c r="D105" s="9">
        <f>2*A105+B105</f>
        <v/>
      </c>
    </row>
    <row r="106">
      <c r="A106" s="9" t="n">
        <v>7.5</v>
      </c>
      <c r="B106" s="9" t="n">
        <v>11</v>
      </c>
      <c r="C106" s="9">
        <f>A106+B106</f>
        <v/>
      </c>
      <c r="D106" s="9">
        <f>2*A106+B106</f>
        <v/>
      </c>
    </row>
    <row r="107">
      <c r="A107" s="9" t="n">
        <v>7.25</v>
      </c>
      <c r="B107" s="9" t="n">
        <v>10.5</v>
      </c>
      <c r="C107" s="9">
        <f>A107+B107</f>
        <v/>
      </c>
      <c r="D107" s="9">
        <f>2*A107+B107</f>
        <v/>
      </c>
    </row>
    <row r="108">
      <c r="A108" s="9" t="n">
        <v>7.25</v>
      </c>
      <c r="B108" s="9" t="n">
        <v>11</v>
      </c>
      <c r="C108" s="9">
        <f>A108+B108</f>
        <v/>
      </c>
      <c r="D108" s="9">
        <f>2*A108+B108</f>
        <v/>
      </c>
    </row>
    <row r="109">
      <c r="A109" s="9" t="n">
        <v>7</v>
      </c>
      <c r="B109" s="9" t="n">
        <v>10.5</v>
      </c>
      <c r="C109" s="9">
        <f>A109+B109</f>
        <v/>
      </c>
      <c r="D109" s="9">
        <f>2*A109+B109</f>
        <v/>
      </c>
    </row>
    <row r="110">
      <c r="A110" s="9" t="n">
        <v>7</v>
      </c>
      <c r="B110" s="9" t="n">
        <v>11</v>
      </c>
      <c r="C110" s="9">
        <f>A110+B110</f>
        <v/>
      </c>
      <c r="D110" s="9">
        <f>2*A110+B110</f>
        <v/>
      </c>
    </row>
    <row r="111">
      <c r="A111" s="9" t="n">
        <v>7</v>
      </c>
      <c r="B111" s="9" t="n">
        <v>11.25</v>
      </c>
      <c r="C111" s="9">
        <f>A111+B111</f>
        <v/>
      </c>
      <c r="D111" s="9">
        <f>2*A111+B111</f>
        <v/>
      </c>
    </row>
    <row r="112">
      <c r="A112" s="9" t="n">
        <v>7</v>
      </c>
      <c r="B112" s="9" t="n">
        <v>11.5</v>
      </c>
      <c r="C112" s="9">
        <f>A112+B112</f>
        <v/>
      </c>
      <c r="D112" s="9">
        <f>2*A112+B112</f>
        <v/>
      </c>
    </row>
    <row r="113">
      <c r="A113" s="9" t="n">
        <v>6.75</v>
      </c>
      <c r="B113" s="9" t="n">
        <v>11</v>
      </c>
      <c r="C113" s="9">
        <f>A113+B113</f>
        <v/>
      </c>
      <c r="D113" s="9">
        <f>2*A113+B113</f>
        <v/>
      </c>
    </row>
    <row r="114">
      <c r="A114" s="9" t="n">
        <v>6.5</v>
      </c>
      <c r="B114" s="9" t="n">
        <v>11.5</v>
      </c>
      <c r="C114" s="9">
        <f>A114+B114</f>
        <v/>
      </c>
      <c r="D114" s="9">
        <f>2*A114+B114</f>
        <v/>
      </c>
    </row>
    <row r="115">
      <c r="A115" s="9" t="n">
        <v>6.5</v>
      </c>
      <c r="B115" s="9" t="n">
        <v>12</v>
      </c>
      <c r="C115" s="9">
        <f>A115+B115</f>
        <v/>
      </c>
      <c r="D115" s="9">
        <f>2*A115+B115</f>
        <v/>
      </c>
    </row>
    <row r="116">
      <c r="A116" s="9" t="n">
        <v>6</v>
      </c>
      <c r="B116" s="9" t="n">
        <v>12</v>
      </c>
      <c r="C116" s="9">
        <f>A116+B116</f>
        <v/>
      </c>
      <c r="D116" s="9">
        <f>2*A116+B116</f>
        <v/>
      </c>
    </row>
    <row r="117">
      <c r="A117" s="9" t="n">
        <v>5.5</v>
      </c>
      <c r="B117" s="9" t="n">
        <v>13</v>
      </c>
      <c r="C117" s="9">
        <f>A117+B117</f>
        <v/>
      </c>
      <c r="D117" s="9">
        <f>2*A117+B117</f>
        <v/>
      </c>
    </row>
    <row r="118" ht="42" customHeight="1">
      <c r="A118" s="43" t="inlineStr">
        <is>
          <t>The code box (IRC R311.7.5): riser no more than 7-3/4 in, tread no less than 10 in measured nosing to nosing, and risers in one flight within 3/8 in of each other. The comfort rules that make stairs feel right: riser + tread lands near 17.5-18.5 in and 2 × riser + tread lands at 24-26 in - every row above is inside both. Local amendments and commercial work (IBC: 7 in max riser, 11 in min tread) differ - the local rule wins.</t>
        </is>
      </c>
    </row>
    <row r="120">
      <c r="A120" s="14" t="inlineStr">
        <is>
          <t>FROM YOUR TOTAL RISE - risers, heights and run (10.5 in treads)</t>
        </is>
      </c>
    </row>
    <row r="121">
      <c r="A121" s="14" t="inlineStr">
        <is>
          <t>Total rise, floor to floor (in)</t>
        </is>
      </c>
      <c r="B121" s="14" t="inlineStr">
        <is>
          <t>Risers needed</t>
        </is>
      </c>
      <c r="C121" s="14" t="inlineStr">
        <is>
          <t>Actual riser height (in)</t>
        </is>
      </c>
      <c r="D121" s="14" t="inlineStr">
        <is>
          <t>Treads (risers − 1)</t>
        </is>
      </c>
      <c r="E121" s="14" t="inlineStr">
        <is>
          <t>Total run at 10.5 in treads (in)</t>
        </is>
      </c>
    </row>
    <row r="122">
      <c r="A122" s="9" t="n">
        <v>96</v>
      </c>
      <c r="B122" s="9">
        <f>ROUND(A122/7.25,0)</f>
        <v/>
      </c>
      <c r="C122" s="64">
        <f>A122/B122</f>
        <v/>
      </c>
      <c r="D122" s="9">
        <f>B122-1</f>
        <v/>
      </c>
      <c r="E122" s="9">
        <f>D122*10.5</f>
        <v/>
      </c>
    </row>
    <row r="123">
      <c r="A123" s="9" t="n">
        <v>102</v>
      </c>
      <c r="B123" s="9">
        <f>ROUND(A123/7.25,0)</f>
        <v/>
      </c>
      <c r="C123" s="64">
        <f>A123/B123</f>
        <v/>
      </c>
      <c r="D123" s="9">
        <f>B123-1</f>
        <v/>
      </c>
      <c r="E123" s="9">
        <f>D123*10.5</f>
        <v/>
      </c>
    </row>
    <row r="124">
      <c r="A124" s="9" t="n">
        <v>108</v>
      </c>
      <c r="B124" s="9">
        <f>ROUND(A124/7.25,0)</f>
        <v/>
      </c>
      <c r="C124" s="64">
        <f>A124/B124</f>
        <v/>
      </c>
      <c r="D124" s="9">
        <f>B124-1</f>
        <v/>
      </c>
      <c r="E124" s="9">
        <f>D124*10.5</f>
        <v/>
      </c>
    </row>
    <row r="125">
      <c r="A125" s="9" t="n">
        <v>114</v>
      </c>
      <c r="B125" s="9">
        <f>ROUND(A125/7.25,0)</f>
        <v/>
      </c>
      <c r="C125" s="64">
        <f>A125/B125</f>
        <v/>
      </c>
      <c r="D125" s="9">
        <f>B125-1</f>
        <v/>
      </c>
      <c r="E125" s="9">
        <f>D125*10.5</f>
        <v/>
      </c>
    </row>
    <row r="126">
      <c r="A126" s="9" t="n">
        <v>120</v>
      </c>
      <c r="B126" s="9">
        <f>ROUND(A126/7.25,0)</f>
        <v/>
      </c>
      <c r="C126" s="64">
        <f>A126/B126</f>
        <v/>
      </c>
      <c r="D126" s="9">
        <f>B126-1</f>
        <v/>
      </c>
      <c r="E126" s="9">
        <f>D126*10.5</f>
        <v/>
      </c>
    </row>
    <row r="127">
      <c r="A127" s="9" t="n">
        <v>126</v>
      </c>
      <c r="B127" s="9">
        <f>ROUND(A127/7.25,0)</f>
        <v/>
      </c>
      <c r="C127" s="64">
        <f>A127/B127</f>
        <v/>
      </c>
      <c r="D127" s="9">
        <f>B127-1</f>
        <v/>
      </c>
      <c r="E127" s="9">
        <f>D127*10.5</f>
        <v/>
      </c>
    </row>
    <row r="128">
      <c r="A128" s="9" t="n">
        <v>132</v>
      </c>
      <c r="B128" s="9">
        <f>ROUND(A128/7.25,0)</f>
        <v/>
      </c>
      <c r="C128" s="64">
        <f>A128/B128</f>
        <v/>
      </c>
      <c r="D128" s="9">
        <f>B128-1</f>
        <v/>
      </c>
      <c r="E128" s="9">
        <f>D128*10.5</f>
        <v/>
      </c>
    </row>
    <row r="129">
      <c r="A129" s="9" t="n">
        <v>144</v>
      </c>
      <c r="B129" s="9">
        <f>ROUND(A129/7.25,0)</f>
        <v/>
      </c>
      <c r="C129" s="64">
        <f>A129/B129</f>
        <v/>
      </c>
      <c r="D129" s="9">
        <f>B129-1</f>
        <v/>
      </c>
      <c r="E129" s="9">
        <f>D129*10.5</f>
        <v/>
      </c>
    </row>
    <row r="130" ht="42" customHeight="1">
      <c r="A130" s="43" t="inlineStr">
        <is>
          <t>How it figures: risers = total rise ÷ about 7.25 in, rounded to a whole step; the actual riser height is then exactly total ÷ risers, so every step in the flight is identical (that evenness is what the 3/8 in rule protects). Total run uses 10.5 in treads - swap in your own tread depth by multiplying treads × your depth. Headroom (6 ft 8 in minimum) and landing depth are separate checks this table does not make.</t>
        </is>
      </c>
    </row>
    <row r="131" ht="30" customHeight="1">
      <c r="A131" s="43" t="inlineStr">
        <is>
          <t>Sources: IRC R311.7.5.1 (riser height) and R311.7.5.2 (tread depth); comfort rules are the long-standing stair-design rules of thumb (Blondel), applied as guidelines, not code.</t>
        </is>
      </c>
    </row>
  </sheetData>
  <mergeCells count="17">
    <mergeCell ref="A1:D1"/>
    <mergeCell ref="A118:D118"/>
    <mergeCell ref="A70:D70"/>
    <mergeCell ref="A34:D34"/>
    <mergeCell ref="A131:D131"/>
    <mergeCell ref="A4:D4"/>
    <mergeCell ref="A101:D101"/>
    <mergeCell ref="A21:D21"/>
    <mergeCell ref="A130:D130"/>
    <mergeCell ref="A72:D72"/>
    <mergeCell ref="A19:D19"/>
    <mergeCell ref="A51:D51"/>
    <mergeCell ref="A2:D2"/>
    <mergeCell ref="A99:D99"/>
    <mergeCell ref="A98:D98"/>
    <mergeCell ref="A32:D32"/>
    <mergeCell ref="A49:D49"/>
  </mergeCells>
  <pageMargins left="0.75" right="0.75" top="1" bottom="1" header="0.5" footer="0.5"/>
  <pageSetup orientation="portrait" fitToWidth="1"/>
  <headerFooter>
    <oddHeader>&amp;C&amp;11 Highway 38 Solutions</oddHeader>
    <oddFooter/>
    <evenHeader>&amp;C&amp;11 Highway 38 Solutions</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F65"/>
  <sheetViews>
    <sheetView workbookViewId="0">
      <selection activeCell="A1" sqref="A1"/>
    </sheetView>
  </sheetViews>
  <sheetFormatPr baseColWidth="8" defaultRowHeight="15"/>
  <cols>
    <col width="42" customWidth="1" min="1" max="1"/>
    <col width="18" customWidth="1" min="2" max="2"/>
    <col width="18" customWidth="1" min="3" max="3"/>
    <col width="18" customWidth="1" min="4" max="4"/>
    <col width="14" customWidth="1" min="5" max="5"/>
    <col width="60" customWidth="1" min="6" max="6"/>
  </cols>
  <sheetData>
    <row r="1" ht="24" customHeight="1">
      <c r="A1" s="56" t="inlineStr">
        <is>
          <t>BUSINESS TOOLS - Labor burden, equipment cost &amp; job tracking</t>
        </is>
      </c>
    </row>
    <row r="2" ht="28" customHeight="1">
      <c r="A2" s="2" t="inlineStr">
        <is>
          <t>The office numbers: what an hour of labor really costs, what a machine really costs per hour, and whether a job made money.</t>
        </is>
      </c>
    </row>
    <row r="4" ht="20" customHeight="1">
      <c r="A4" s="35" t="inlineStr">
        <is>
          <t>1 - LABOR BURDEN - what an hour of labor really costs</t>
        </is>
      </c>
    </row>
    <row r="5">
      <c r="A5" s="9" t="inlineStr">
        <is>
          <t>Base wage ($/hr)</t>
        </is>
      </c>
      <c r="B5" s="51" t="n">
        <v>30</v>
      </c>
    </row>
    <row r="6">
      <c r="A6" s="9" t="inlineStr">
        <is>
          <t>Social Security &amp; Medicare - FICA</t>
        </is>
      </c>
      <c r="B6" s="68" t="n">
        <v>0.0765</v>
      </c>
      <c r="C6" s="69" t="inlineStr">
        <is>
          <t>Employer share, 7.65% per the IRS.</t>
        </is>
      </c>
    </row>
    <row r="7">
      <c r="A7" s="9" t="inlineStr">
        <is>
          <t>Federal unemployment - FUTA</t>
        </is>
      </c>
      <c r="B7" s="68" t="n">
        <v>0.006</v>
      </c>
      <c r="C7" s="69" t="inlineStr">
        <is>
          <t>0.6% net rate (after the state credit).</t>
        </is>
      </c>
    </row>
    <row r="8">
      <c r="A8" s="9" t="inlineStr">
        <is>
          <t>State unemployment - SUTA</t>
        </is>
      </c>
      <c r="B8" s="68" t="n">
        <v>0.027</v>
      </c>
      <c r="C8" s="69" t="inlineStr">
        <is>
          <t>Your state and rate will differ - this is a common new-employer rate.</t>
        </is>
      </c>
    </row>
    <row r="9">
      <c r="A9" s="9" t="inlineStr">
        <is>
          <t>Workers' comp insurance</t>
        </is>
      </c>
      <c r="B9" s="70" t="n">
        <v>0.08</v>
      </c>
      <c r="C9" s="69" t="inlineStr">
        <is>
          <t>Trades rates run high - use the rate on your policy.</t>
        </is>
      </c>
    </row>
    <row r="10">
      <c r="A10" s="9" t="inlineStr">
        <is>
          <t>Health insurance ($/month per employee)</t>
        </is>
      </c>
      <c r="B10" s="51" t="n">
        <v>600</v>
      </c>
    </row>
    <row r="11">
      <c r="A11" s="9" t="inlineStr">
        <is>
          <t>Retirement contribution</t>
        </is>
      </c>
      <c r="B11" s="70" t="n">
        <v>0.03</v>
      </c>
    </row>
    <row r="12">
      <c r="A12" s="9" t="inlineStr">
        <is>
          <t>Other burden - truck, phone, small tools ($/hr)</t>
        </is>
      </c>
      <c r="B12" s="51" t="n">
        <v>0.5</v>
      </c>
    </row>
    <row r="13">
      <c r="A13" s="9" t="inlineStr">
        <is>
          <t>Paid hours per year</t>
        </is>
      </c>
      <c r="B13" s="36" t="n">
        <v>2080</v>
      </c>
      <c r="C13" s="69" t="inlineStr">
        <is>
          <t>2,080 is 40 hrs x 52 weeks, before holidays and weather days.</t>
        </is>
      </c>
    </row>
    <row r="14">
      <c r="A14" s="9" t="inlineStr">
        <is>
          <t>Target gross margin on labor</t>
        </is>
      </c>
      <c r="B14" s="70" t="n">
        <v>0.2</v>
      </c>
    </row>
    <row r="15">
      <c r="A15" s="9" t="inlineStr">
        <is>
          <t>FICA cost</t>
        </is>
      </c>
      <c r="B15" s="71">
        <f>B5*B6</f>
        <v/>
      </c>
    </row>
    <row r="16">
      <c r="A16" s="9" t="inlineStr">
        <is>
          <t>FUTA cost</t>
        </is>
      </c>
      <c r="B16" s="71">
        <f>B5*B7</f>
        <v/>
      </c>
    </row>
    <row r="17">
      <c r="A17" s="9" t="inlineStr">
        <is>
          <t>SUTA cost</t>
        </is>
      </c>
      <c r="B17" s="71">
        <f>B5*B8</f>
        <v/>
      </c>
    </row>
    <row r="18">
      <c r="A18" s="9" t="inlineStr">
        <is>
          <t>Workers' comp cost</t>
        </is>
      </c>
      <c r="B18" s="71">
        <f>B5*B9</f>
        <v/>
      </c>
    </row>
    <row r="19">
      <c r="A19" s="9" t="inlineStr">
        <is>
          <t>Health insurance cost</t>
        </is>
      </c>
      <c r="B19" s="71">
        <f>IF(B13&gt;0,B10*12/B13,0)</f>
        <v/>
      </c>
    </row>
    <row r="20">
      <c r="A20" s="9" t="inlineStr">
        <is>
          <t>Retirement cost</t>
        </is>
      </c>
      <c r="B20" s="71">
        <f>B5*B11</f>
        <v/>
      </c>
    </row>
    <row r="21">
      <c r="A21" s="9" t="inlineStr">
        <is>
          <t>Other burden</t>
        </is>
      </c>
      <c r="B21" s="71">
        <f>B12</f>
        <v/>
      </c>
    </row>
    <row r="22">
      <c r="A22" s="14" t="inlineStr">
        <is>
          <t>Total burden ($/hr)</t>
        </is>
      </c>
      <c r="B22" s="52">
        <f>SUM(B15:B21)</f>
        <v/>
      </c>
    </row>
    <row r="23">
      <c r="A23" s="9" t="inlineStr">
        <is>
          <t>Burden as a share of the wage</t>
        </is>
      </c>
      <c r="B23" s="72">
        <f>IF(B5&gt;0,B22/B5,0)</f>
        <v/>
      </c>
    </row>
    <row r="24">
      <c r="A24" s="14" t="inlineStr">
        <is>
          <t>TRUE HOURLY COST</t>
        </is>
      </c>
      <c r="B24" s="52">
        <f>B5+B22</f>
        <v/>
      </c>
    </row>
    <row r="25">
      <c r="A25" s="14" t="inlineStr">
        <is>
          <t>BILLABLE RATE at your target margin</t>
        </is>
      </c>
      <c r="B25" s="52">
        <f>IF(B14&lt;1,B24/(1-B14),0)</f>
        <v/>
      </c>
      <c r="C25" s="69" t="inlineStr">
        <is>
          <t>Rate = true cost / (1 - margin). A 20% margin is NOT a 20% markup.</t>
        </is>
      </c>
    </row>
    <row r="26">
      <c r="A26" s="69" t="inlineStr">
        <is>
          <t>FUTA applies to the first $7,000 of wages per employee per year and SUTA to your state's wage base only, so the true burden eases a little once those caps pass. This sheet charges them on every hour, which errs on the safe side. Paid hours that never reach a job (weather, callbacks, shop time) push the real number higher - the Break-Even Day Rate on the Standard sheet is the cross-check.</t>
        </is>
      </c>
    </row>
    <row r="28" ht="20" customHeight="1">
      <c r="A28" s="35" t="inlineStr">
        <is>
          <t>2 - EQUIPMENT OWNING COST PER HOUR - what the machine really costs</t>
        </is>
      </c>
    </row>
    <row r="29">
      <c r="A29" s="9" t="inlineStr">
        <is>
          <t>Purchase price ($)</t>
        </is>
      </c>
      <c r="B29" s="51" t="n">
        <v>85000</v>
      </c>
    </row>
    <row r="30">
      <c r="A30" s="9" t="inlineStr">
        <is>
          <t>Salvage value at end of life</t>
        </is>
      </c>
      <c r="B30" s="70" t="n">
        <v>0.1</v>
      </c>
    </row>
    <row r="31">
      <c r="A31" s="9" t="inlineStr">
        <is>
          <t>Working life (years)</t>
        </is>
      </c>
      <c r="B31" s="36" t="n">
        <v>5</v>
      </c>
    </row>
    <row r="32">
      <c r="A32" s="9" t="inlineStr">
        <is>
          <t>Hours used per year</t>
        </is>
      </c>
      <c r="B32" s="36" t="n">
        <v>1000</v>
      </c>
    </row>
    <row r="33">
      <c r="A33" s="9" t="inlineStr">
        <is>
          <t>Interest, insurance &amp; taxes (% of avg value, per year)</t>
        </is>
      </c>
      <c r="B33" s="70" t="n">
        <v>0.08</v>
      </c>
    </row>
    <row r="34">
      <c r="A34" s="9" t="inlineStr">
        <is>
          <t>Fuel use (gal/hr)</t>
        </is>
      </c>
      <c r="B34" s="73" t="n">
        <v>3</v>
      </c>
    </row>
    <row r="35">
      <c r="A35" s="9" t="inlineStr">
        <is>
          <t>Fuel price ($/gal)</t>
        </is>
      </c>
      <c r="B35" s="51" t="n">
        <v>3.8</v>
      </c>
    </row>
    <row r="36">
      <c r="A36" s="9" t="inlineStr">
        <is>
          <t>Maintenance &amp; repairs ($/year)</t>
        </is>
      </c>
      <c r="B36" s="51" t="n">
        <v>4000</v>
      </c>
    </row>
    <row r="37">
      <c r="A37" s="9" t="inlineStr">
        <is>
          <t>Tires / wear parts ($/hr)</t>
        </is>
      </c>
      <c r="B37" s="51" t="n">
        <v>0.75</v>
      </c>
    </row>
    <row r="38">
      <c r="A38" s="9" t="inlineStr">
        <is>
          <t>Salvage value ($)</t>
        </is>
      </c>
      <c r="B38" s="71">
        <f>B29*B30</f>
        <v/>
      </c>
    </row>
    <row r="39">
      <c r="A39" s="9" t="inlineStr">
        <is>
          <t>Depreciation per year</t>
        </is>
      </c>
      <c r="B39" s="71">
        <f>IF(B31&gt;0,(B29-B38)/B31,0)</f>
        <v/>
      </c>
    </row>
    <row r="40">
      <c r="A40" s="9" t="inlineStr">
        <is>
          <t>Average annual investment</t>
        </is>
      </c>
      <c r="B40" s="71">
        <f>IF(B31&gt;0,(B29*(B31+1)+B38*(B31-1))/(2*B31),0)</f>
        <v/>
      </c>
      <c r="C40" s="69" t="inlineStr">
        <is>
          <t>The average dollar tied up in the machine over its life.</t>
        </is>
      </c>
    </row>
    <row r="41">
      <c r="A41" s="9" t="inlineStr">
        <is>
          <t>Interest, insurance &amp; taxes per year</t>
        </is>
      </c>
      <c r="B41" s="71">
        <f>B40*B33</f>
        <v/>
      </c>
    </row>
    <row r="42">
      <c r="A42" s="9" t="inlineStr">
        <is>
          <t>Owning cost per hour</t>
        </is>
      </c>
      <c r="B42" s="71">
        <f>IF(B32&gt;0,(B39+B40*B33)/B32,0)</f>
        <v/>
      </c>
    </row>
    <row r="43">
      <c r="A43" s="9" t="inlineStr">
        <is>
          <t>Fuel cost per hour</t>
        </is>
      </c>
      <c r="B43" s="71">
        <f>B34*B35</f>
        <v/>
      </c>
    </row>
    <row r="44">
      <c r="A44" s="9" t="inlineStr">
        <is>
          <t>Maintenance cost per hour</t>
        </is>
      </c>
      <c r="B44" s="71">
        <f>IF(B32&gt;0,B36/B32,0)</f>
        <v/>
      </c>
    </row>
    <row r="45">
      <c r="A45" s="14" t="inlineStr">
        <is>
          <t>TOTAL COST PER HOUR</t>
        </is>
      </c>
      <c r="B45" s="52">
        <f>B42+B43+B44+B37</f>
        <v/>
      </c>
      <c r="C45" s="69" t="inlineStr">
        <is>
          <t>Charge at least this per working hour or the machine is quietly losing money.</t>
        </is>
      </c>
    </row>
    <row r="46">
      <c r="A46" s="69" t="inlineStr">
        <is>
          <t>The standard owning-cost method (the one equipment associations and Caterpillar's handbook use): depreciation on the price minus salvage, plus interest, insurance and taxes figured on the average annual investment, spread over the hours actually worked. Operating costs - fuel, maintenance, wear - ride on top. Operator labor is NOT in this number; it is in the labor burden above.</t>
        </is>
      </c>
    </row>
    <row r="48" ht="20" customHeight="1">
      <c r="A48" s="35" t="inlineStr">
        <is>
          <t>3 - JOB COST TRACKER - budget vs. actual</t>
        </is>
      </c>
    </row>
    <row r="49">
      <c r="A49" s="14" t="inlineStr">
        <is>
          <t>Cost category</t>
        </is>
      </c>
      <c r="B49" s="14" t="inlineStr">
        <is>
          <t>Budget ($)</t>
        </is>
      </c>
      <c r="C49" s="14" t="inlineStr">
        <is>
          <t>Actual ($)</t>
        </is>
      </c>
      <c r="D49" s="14" t="inlineStr">
        <is>
          <t>Variance ($)</t>
        </is>
      </c>
      <c r="E49" s="14" t="inlineStr">
        <is>
          <t>% of budget used</t>
        </is>
      </c>
      <c r="F49" s="69" t="inlineStr">
        <is>
          <t>Variance is budget minus actual - a negative variance means over budget.</t>
        </is>
      </c>
    </row>
    <row r="50">
      <c r="A50" s="44" t="inlineStr">
        <is>
          <t>Labor</t>
        </is>
      </c>
      <c r="B50" s="51" t="n">
        <v>4200</v>
      </c>
      <c r="C50" s="51" t="n">
        <v>4650</v>
      </c>
      <c r="D50" s="71">
        <f>B50-C50</f>
        <v/>
      </c>
      <c r="E50" s="72">
        <f>IF(B50=0,0,C50/B50)</f>
        <v/>
      </c>
    </row>
    <row r="51">
      <c r="A51" s="44" t="inlineStr">
        <is>
          <t>Materials</t>
        </is>
      </c>
      <c r="B51" s="51" t="n">
        <v>3100</v>
      </c>
      <c r="C51" s="51" t="n">
        <v>2875</v>
      </c>
      <c r="D51" s="71">
        <f>B51-C51</f>
        <v/>
      </c>
      <c r="E51" s="72">
        <f>IF(B51=0,0,C51/B51)</f>
        <v/>
      </c>
    </row>
    <row r="52">
      <c r="A52" s="44" t="inlineStr">
        <is>
          <t>Subcontractors</t>
        </is>
      </c>
      <c r="B52" s="51" t="n">
        <v>1500</v>
      </c>
      <c r="C52" s="51" t="n">
        <v>1500</v>
      </c>
      <c r="D52" s="71">
        <f>B52-C52</f>
        <v/>
      </c>
      <c r="E52" s="72">
        <f>IF(B52=0,0,C52/B52)</f>
        <v/>
      </c>
    </row>
    <row r="53">
      <c r="A53" s="44" t="inlineStr">
        <is>
          <t>Equipment &amp; rentals</t>
        </is>
      </c>
      <c r="B53" s="51" t="n">
        <v>600</v>
      </c>
      <c r="C53" s="51" t="n">
        <v>540</v>
      </c>
      <c r="D53" s="71">
        <f>B53-C53</f>
        <v/>
      </c>
      <c r="E53" s="72">
        <f>IF(B53=0,0,C53/B53)</f>
        <v/>
      </c>
    </row>
    <row r="54">
      <c r="A54" s="44" t="inlineStr">
        <is>
          <t>Permits &amp; fees</t>
        </is>
      </c>
      <c r="B54" s="51" t="n">
        <v>350</v>
      </c>
      <c r="C54" s="51" t="n">
        <v>385</v>
      </c>
      <c r="D54" s="71">
        <f>B54-C54</f>
        <v/>
      </c>
      <c r="E54" s="72">
        <f>IF(B54=0,0,C54/B54)</f>
        <v/>
      </c>
    </row>
    <row r="55">
      <c r="A55" s="44" t="inlineStr">
        <is>
          <t>Disposal &amp; dump fees</t>
        </is>
      </c>
      <c r="B55" s="51" t="n">
        <v>250</v>
      </c>
      <c r="C55" s="51" t="n">
        <v>210</v>
      </c>
      <c r="D55" s="71">
        <f>B55-C55</f>
        <v/>
      </c>
      <c r="E55" s="72">
        <f>IF(B55=0,0,C55/B55)</f>
        <v/>
      </c>
    </row>
    <row r="56">
      <c r="A56" s="44" t="inlineStr">
        <is>
          <t>Fuel &amp; mileage</t>
        </is>
      </c>
      <c r="B56" s="51" t="n">
        <v>300</v>
      </c>
      <c r="C56" s="51" t="n">
        <v>268</v>
      </c>
      <c r="D56" s="71">
        <f>B56-C56</f>
        <v/>
      </c>
      <c r="E56" s="72">
        <f>IF(B56=0,0,C56/B56)</f>
        <v/>
      </c>
    </row>
    <row r="57">
      <c r="A57" s="44" t="inlineStr">
        <is>
          <t>Other</t>
        </is>
      </c>
      <c r="B57" s="51" t="n">
        <v>200</v>
      </c>
      <c r="C57" s="51" t="n">
        <v>0</v>
      </c>
      <c r="D57" s="71">
        <f>B57-C57</f>
        <v/>
      </c>
      <c r="E57" s="72">
        <f>IF(B57=0,0,C57/B57)</f>
        <v/>
      </c>
    </row>
    <row r="58">
      <c r="A58" s="44" t="inlineStr">
        <is>
          <t>Contingency</t>
        </is>
      </c>
      <c r="B58" s="51" t="n">
        <v>500</v>
      </c>
      <c r="C58" s="51" t="n">
        <v>125</v>
      </c>
      <c r="D58" s="71">
        <f>B58-C58</f>
        <v/>
      </c>
      <c r="E58" s="72">
        <f>IF(B58=0,0,C58/B58)</f>
        <v/>
      </c>
    </row>
    <row r="59">
      <c r="A59" s="47" t="inlineStr">
        <is>
          <t>TOTAL JOB COST</t>
        </is>
      </c>
      <c r="B59" s="52">
        <f>SUM(B50:B58)</f>
        <v/>
      </c>
      <c r="C59" s="52">
        <f>SUM(C50:C58)</f>
        <v/>
      </c>
      <c r="D59" s="52">
        <f>B59-C59</f>
        <v/>
      </c>
      <c r="E59" s="41">
        <f>IF(B59=0,0,C59/B59)</f>
        <v/>
      </c>
    </row>
    <row r="60">
      <c r="A60" s="9" t="inlineStr">
        <is>
          <t>Contract price ($)</t>
        </is>
      </c>
      <c r="B60" s="51" t="n">
        <v>14500</v>
      </c>
    </row>
    <row r="61">
      <c r="A61" s="14" t="inlineStr">
        <is>
          <t>GROSS PROFIT at today's actuals</t>
        </is>
      </c>
      <c r="B61" s="52">
        <f>B60-C59</f>
        <v/>
      </c>
    </row>
    <row r="62">
      <c r="A62" s="9" t="inlineStr">
        <is>
          <t>Gross margin on the job</t>
        </is>
      </c>
      <c r="B62" s="72">
        <f>IF(B60&gt;0,B61/B60,0)</f>
        <v/>
      </c>
    </row>
    <row r="63">
      <c r="A63" s="69" t="inlineStr">
        <is>
          <t>Type over the example numbers job by job. The contingency line is real money in the budget - if the job never touches it, it falls straight to profit. Compare the margin here with the margin you aimed at in the Job Bid Pricer on the Standard sheet; the gap between them is where estimating lessons live.</t>
        </is>
      </c>
    </row>
    <row r="65">
      <c r="A65" s="69" t="inlineStr">
        <is>
          <t>Sources &amp; methods: employer payroll costs per IRS Publication 15 (FICA 7.65%; FUTA 0.6% net on the first $7,000 of wages); state unemployment rates and wage bases vary by state. Equipment owning cost follows the standard average-annual-investment method.</t>
        </is>
      </c>
    </row>
  </sheetData>
  <mergeCells count="9">
    <mergeCell ref="A2:F2"/>
    <mergeCell ref="A63:F63"/>
    <mergeCell ref="A28:F28"/>
    <mergeCell ref="A46:F46"/>
    <mergeCell ref="A1:F1"/>
    <mergeCell ref="A4:F4"/>
    <mergeCell ref="A48:F48"/>
    <mergeCell ref="A26:F26"/>
    <mergeCell ref="A65:F65"/>
  </mergeCells>
  <pageMargins left="0.75" right="0.75" top="1" bottom="1" header="0.5" footer="0.5"/>
  <pageSetup orientation="portrait" fitToWidth="1"/>
  <headerFooter>
    <oddHeader>&amp;C&amp;11 Highway 38 Solutions</oddHeader>
    <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F107"/>
  <sheetViews>
    <sheetView workbookViewId="0">
      <selection activeCell="A1" sqref="A1"/>
    </sheetView>
  </sheetViews>
  <sheetFormatPr baseColWidth="8" defaultRowHeight="15"/>
  <cols>
    <col width="42" customWidth="1" min="1" max="1"/>
    <col width="18" customWidth="1" min="2" max="2"/>
    <col width="62" customWidth="1" min="3" max="3"/>
    <col width="14" customWidth="1" min="4" max="4"/>
    <col width="16" customWidth="1" min="5" max="5"/>
    <col width="13" customWidth="1" min="6" max="6"/>
  </cols>
  <sheetData>
    <row r="1" ht="24" customHeight="1">
      <c r="A1" s="6" t="inlineStr">
        <is>
          <t>ELECTRICAL - Conduit fill, voltage drop, Ohm’s law &amp; ampacity</t>
        </is>
      </c>
    </row>
    <row r="2">
      <c r="A2" s="7" t="inlineStr">
        <is>
          <t>The trade tools: NEC conduit fill, voltage drop, Ohm’s law &amp; power, and the wire ampacity chart. The shared business kit - bid pricer, break-even, markup/margin, mileage, amps/kW - is on the Standard sheet, same as the app shows it on every tab.</t>
        </is>
      </c>
    </row>
    <row r="4" ht="20" customHeight="1">
      <c r="A4" s="8" t="inlineStr">
        <is>
          <t>CONDUIT FILL - THHN / THWN-2 copper in EMT</t>
        </is>
      </c>
    </row>
    <row r="5">
      <c r="A5" s="9" t="inlineStr">
        <is>
          <t>Conduit (EMT)</t>
        </is>
      </c>
      <c r="B5" s="23" t="inlineStr">
        <is>
          <t>1/2″ EMT</t>
        </is>
      </c>
      <c r="C5" s="24" t="inlineStr">
        <is>
          <t>Pick from the dropdown - areas from the reference tables below</t>
        </is>
      </c>
    </row>
    <row r="6">
      <c r="A6" s="9" t="inlineStr">
        <is>
          <t>Wire size (THHN)</t>
        </is>
      </c>
      <c r="B6" s="23" t="inlineStr">
        <is>
          <t>12 AWG</t>
        </is>
      </c>
      <c r="C6" s="24" t="inlineStr">
        <is>
          <t>Pick from the dropdown - areas from the reference tables below</t>
        </is>
      </c>
    </row>
    <row r="7">
      <c r="A7" s="9" t="inlineStr">
        <is>
          <t>Number of wires (the ground counts)</t>
        </is>
      </c>
      <c r="B7" s="10" t="n">
        <v>4</v>
      </c>
    </row>
    <row r="8">
      <c r="A8" s="9" t="inlineStr">
        <is>
          <t>Wire count used (minimum 1, rounded)</t>
        </is>
      </c>
      <c r="B8" s="20">
        <f>MAX(1,ROUND(B7,0))</f>
        <v/>
      </c>
    </row>
    <row r="9">
      <c r="A9" s="9" t="inlineStr">
        <is>
          <t>Conduit inside area (sq in)</t>
        </is>
      </c>
      <c r="B9" s="21">
        <f>VLOOKUP(B5,$A$18:$B$26,2,FALSE)</f>
        <v/>
      </c>
    </row>
    <row r="10">
      <c r="A10" s="9" t="inlineStr">
        <is>
          <t>Wire area each (sq in)</t>
        </is>
      </c>
      <c r="B10" s="28">
        <f>VLOOKUP(B6,$A$29:$B$41,2,FALSE)</f>
        <v/>
      </c>
    </row>
    <row r="11">
      <c r="A11" s="14" t="inlineStr">
        <is>
          <t>CONDUIT FILL</t>
        </is>
      </c>
      <c r="B11" s="29">
        <f>IF(B9&gt;0,B10*B8/B9,0)</f>
        <v/>
      </c>
    </row>
    <row r="12">
      <c r="A12" s="9" t="inlineStr">
        <is>
          <t>NEC limit for this wire count</t>
        </is>
      </c>
      <c r="B12" s="16">
        <f>IF(B8=1,0.53,IF(B8=2,0.31,0.4))</f>
        <v/>
      </c>
      <c r="C12" s="24" t="inlineStr">
        <is>
          <t>1 wire 53% - 2 wires 31% - 3 or more 40%</t>
        </is>
      </c>
    </row>
    <row r="13">
      <c r="A13" s="9" t="inlineStr">
        <is>
          <t>Max of this size in this conduit (at 40%)</t>
        </is>
      </c>
      <c r="B13" s="20">
        <f>IF(B10&gt;0,FLOOR(B9*0.4/B10,1),0)</f>
        <v/>
      </c>
    </row>
    <row r="14">
      <c r="A14" s="3">
        <f>IF(B11&lt;=B12,"Inside the NEC fill limit - a legal pull.","Over the limit for this wire count - upsize the conduit or split the run.")</f>
        <v/>
      </c>
    </row>
    <row r="16" ht="28" customHeight="1">
      <c r="A16" s="17" t="inlineStr">
        <is>
          <t>NEC Chapter 9: one wire may fill 53% of the conduit, two wires 31%, three or more 40%. Legal and pullable aren't the same thing - long runs with bends get miserable well before 40%.</t>
        </is>
      </c>
    </row>
    <row r="17">
      <c r="A17" s="14" t="inlineStr">
        <is>
          <t>Reference - EMT conduit inside areas (sq in)</t>
        </is>
      </c>
    </row>
    <row r="18">
      <c r="A18" s="30" t="inlineStr">
        <is>
          <t>1/2″ EMT</t>
        </is>
      </c>
      <c r="B18" s="21" t="n">
        <v>0.304</v>
      </c>
    </row>
    <row r="19">
      <c r="A19" s="30" t="inlineStr">
        <is>
          <t>3/4″ EMT</t>
        </is>
      </c>
      <c r="B19" s="21" t="n">
        <v>0.533</v>
      </c>
    </row>
    <row r="20">
      <c r="A20" s="30" t="inlineStr">
        <is>
          <t>1″ EMT</t>
        </is>
      </c>
      <c r="B20" s="21" t="n">
        <v>0.864</v>
      </c>
    </row>
    <row r="21">
      <c r="A21" s="30" t="inlineStr">
        <is>
          <t>1-1/4″ EMT</t>
        </is>
      </c>
      <c r="B21" s="21" t="n">
        <v>1.496</v>
      </c>
    </row>
    <row r="22">
      <c r="A22" s="30" t="inlineStr">
        <is>
          <t>1-1/2″ EMT</t>
        </is>
      </c>
      <c r="B22" s="21" t="n">
        <v>2.036</v>
      </c>
    </row>
    <row r="23">
      <c r="A23" s="30" t="inlineStr">
        <is>
          <t>2″ EMT</t>
        </is>
      </c>
      <c r="B23" s="21" t="n">
        <v>3.356</v>
      </c>
    </row>
    <row r="24">
      <c r="A24" s="30" t="inlineStr">
        <is>
          <t>2-1/2″ EMT</t>
        </is>
      </c>
      <c r="B24" s="21" t="n">
        <v>5.858</v>
      </c>
    </row>
    <row r="25">
      <c r="A25" s="30" t="inlineStr">
        <is>
          <t>3″ EMT</t>
        </is>
      </c>
      <c r="B25" s="21" t="n">
        <v>8.846</v>
      </c>
    </row>
    <row r="26">
      <c r="A26" s="30" t="inlineStr">
        <is>
          <t>4″ EMT</t>
        </is>
      </c>
      <c r="B26" s="21" t="n">
        <v>14.753</v>
      </c>
    </row>
    <row r="28">
      <c r="A28" s="14" t="inlineStr">
        <is>
          <t>Reference - THHN / THWN-2 wire areas (sq in)</t>
        </is>
      </c>
    </row>
    <row r="29">
      <c r="A29" s="30" t="inlineStr">
        <is>
          <t>14 AWG</t>
        </is>
      </c>
      <c r="B29" s="28" t="n">
        <v>0.0097</v>
      </c>
    </row>
    <row r="30">
      <c r="A30" s="30" t="inlineStr">
        <is>
          <t>12 AWG</t>
        </is>
      </c>
      <c r="B30" s="28" t="n">
        <v>0.0133</v>
      </c>
    </row>
    <row r="31">
      <c r="A31" s="30" t="inlineStr">
        <is>
          <t>10 AWG</t>
        </is>
      </c>
      <c r="B31" s="28" t="n">
        <v>0.0211</v>
      </c>
    </row>
    <row r="32">
      <c r="A32" s="30" t="inlineStr">
        <is>
          <t>8 AWG</t>
        </is>
      </c>
      <c r="B32" s="28" t="n">
        <v>0.0366</v>
      </c>
    </row>
    <row r="33">
      <c r="A33" s="30" t="inlineStr">
        <is>
          <t>6 AWG</t>
        </is>
      </c>
      <c r="B33" s="28" t="n">
        <v>0.0507</v>
      </c>
    </row>
    <row r="34">
      <c r="A34" s="30" t="inlineStr">
        <is>
          <t>4 AWG</t>
        </is>
      </c>
      <c r="B34" s="28" t="n">
        <v>0.0824</v>
      </c>
    </row>
    <row r="35">
      <c r="A35" s="30" t="inlineStr">
        <is>
          <t>3 AWG</t>
        </is>
      </c>
      <c r="B35" s="28" t="n">
        <v>0.0973</v>
      </c>
    </row>
    <row r="36">
      <c r="A36" s="30" t="inlineStr">
        <is>
          <t>2 AWG</t>
        </is>
      </c>
      <c r="B36" s="28" t="n">
        <v>0.1158</v>
      </c>
    </row>
    <row r="37">
      <c r="A37" s="30" t="inlineStr">
        <is>
          <t>1 AWG</t>
        </is>
      </c>
      <c r="B37" s="28" t="n">
        <v>0.1562</v>
      </c>
    </row>
    <row r="38">
      <c r="A38" s="30" t="inlineStr">
        <is>
          <t>1/0 AWG</t>
        </is>
      </c>
      <c r="B38" s="28" t="n">
        <v>0.1855</v>
      </c>
    </row>
    <row r="39">
      <c r="A39" s="30" t="inlineStr">
        <is>
          <t>2/0 AWG</t>
        </is>
      </c>
      <c r="B39" s="28" t="n">
        <v>0.2223</v>
      </c>
    </row>
    <row r="40">
      <c r="A40" s="30" t="inlineStr">
        <is>
          <t>3/0 AWG</t>
        </is>
      </c>
      <c r="B40" s="28" t="n">
        <v>0.2679</v>
      </c>
    </row>
    <row r="41">
      <c r="A41" s="30" t="inlineStr">
        <is>
          <t>4/0 AWG</t>
        </is>
      </c>
      <c r="B41" s="28" t="n">
        <v>0.3237</v>
      </c>
    </row>
    <row r="44" ht="20" customHeight="1">
      <c r="A44" s="35" t="inlineStr">
        <is>
          <t>VOLTAGE DROP - will the far end still have the volts?</t>
        </is>
      </c>
    </row>
    <row r="45">
      <c r="A45" s="9" t="inlineStr">
        <is>
          <t>Voltage (V)</t>
        </is>
      </c>
      <c r="B45" s="36" t="n">
        <v>240</v>
      </c>
    </row>
    <row r="46">
      <c r="A46" s="9" t="inlineStr">
        <is>
          <t>Load current (amps)</t>
        </is>
      </c>
      <c r="B46" s="36" t="n">
        <v>16</v>
      </c>
    </row>
    <row r="47">
      <c r="A47" s="9" t="inlineStr">
        <is>
          <t>One-way run length (ft)</t>
        </is>
      </c>
      <c r="B47" s="36" t="n">
        <v>100</v>
      </c>
    </row>
    <row r="48">
      <c r="A48" s="9" t="inlineStr">
        <is>
          <t>Wire size</t>
        </is>
      </c>
      <c r="B48" s="37" t="inlineStr">
        <is>
          <t>12 AWG</t>
        </is>
      </c>
      <c r="C48" s="9" t="inlineStr">
        <is>
          <t>Pick from the dropdown - circular mils from the table below</t>
        </is>
      </c>
    </row>
    <row r="49">
      <c r="A49" s="9" t="inlineStr">
        <is>
          <t>Conductor</t>
        </is>
      </c>
      <c r="B49" s="37" t="inlineStr">
        <is>
          <t>Copper</t>
        </is>
      </c>
      <c r="C49" s="9" t="inlineStr">
        <is>
          <t>Pick from the dropdown</t>
        </is>
      </c>
    </row>
    <row r="50">
      <c r="A50" s="9" t="inlineStr">
        <is>
          <t>Phase</t>
        </is>
      </c>
      <c r="B50" s="37" t="inlineStr">
        <is>
          <t>Single phase</t>
        </is>
      </c>
      <c r="C50" s="9" t="inlineStr">
        <is>
          <t>Pick from the dropdown</t>
        </is>
      </c>
    </row>
    <row r="51">
      <c r="A51" s="9" t="inlineStr">
        <is>
          <t>K factor used (ohm-cmil per ft)</t>
        </is>
      </c>
      <c r="B51" s="38">
        <f>IF(B49="Aluminum",21.2,12.9)</f>
        <v/>
      </c>
    </row>
    <row r="52">
      <c r="A52" s="9" t="inlineStr">
        <is>
          <t>Wire area (circular mils)</t>
        </is>
      </c>
      <c r="B52" s="39">
        <f>VLOOKUP(B48,$A$60:$B$72,2,FALSE)</f>
        <v/>
      </c>
    </row>
    <row r="53">
      <c r="A53" s="14" t="inlineStr">
        <is>
          <t>VOLTAGE DROP (V)</t>
        </is>
      </c>
      <c r="B53" s="40">
        <f>IF(B50="Three phase",SQRT(3),2)*B51*B46*B47/B52</f>
        <v/>
      </c>
    </row>
    <row r="54">
      <c r="A54" s="14" t="inlineStr">
        <is>
          <t>VOLTAGE DROP</t>
        </is>
      </c>
      <c r="B54" s="41">
        <f>IF(B45&gt;0,B53/B45,0)</f>
        <v/>
      </c>
    </row>
    <row r="55">
      <c r="A55" s="9" t="inlineStr">
        <is>
          <t>Voltage left at the load</t>
        </is>
      </c>
      <c r="B55" s="38">
        <f>B45-B53</f>
        <v/>
      </c>
    </row>
    <row r="56" ht="15" customHeight="1">
      <c r="A56" s="42">
        <f>IF(B54&lt;=0.03,"Inside the 3% branch-circuit guideline - good to pull.",IF(B54&lt;=0.05,"Over the 3% branch guideline - fine on a feeder if the total stays under 5%, or upsize the wire.","Over 5% - upsize the wire or shorten the run. Motors will complain and lights will dim."))</f>
        <v/>
      </c>
    </row>
    <row r="57" ht="28" customHeight="1">
      <c r="A57" s="43" t="inlineStr">
        <is>
          <t>The NEC suggests (it does not mandate) 3% max drop on a branch circuit and 5% feeder + branch together. K at 75°C: copper 12.9, aluminum 21.2 ohm-cmil/ft. Long run, small wire, big load - the percentage tells the story fast.</t>
        </is>
      </c>
    </row>
    <row r="59">
      <c r="A59" s="14" t="inlineStr">
        <is>
          <t>Reference - wire areas (circular mils)</t>
        </is>
      </c>
    </row>
    <row r="60">
      <c r="A60" s="44" t="inlineStr">
        <is>
          <t>14 AWG</t>
        </is>
      </c>
      <c r="B60" s="39" t="n">
        <v>4110</v>
      </c>
    </row>
    <row r="61">
      <c r="A61" s="44" t="inlineStr">
        <is>
          <t>12 AWG</t>
        </is>
      </c>
      <c r="B61" s="39" t="n">
        <v>6530</v>
      </c>
    </row>
    <row r="62">
      <c r="A62" s="44" t="inlineStr">
        <is>
          <t>10 AWG</t>
        </is>
      </c>
      <c r="B62" s="39" t="n">
        <v>10380</v>
      </c>
    </row>
    <row r="63">
      <c r="A63" s="44" t="inlineStr">
        <is>
          <t>8 AWG</t>
        </is>
      </c>
      <c r="B63" s="39" t="n">
        <v>16510</v>
      </c>
    </row>
    <row r="64">
      <c r="A64" s="44" t="inlineStr">
        <is>
          <t>6 AWG</t>
        </is>
      </c>
      <c r="B64" s="39" t="n">
        <v>26240</v>
      </c>
    </row>
    <row r="65">
      <c r="A65" s="44" t="inlineStr">
        <is>
          <t>4 AWG</t>
        </is>
      </c>
      <c r="B65" s="39" t="n">
        <v>41740</v>
      </c>
    </row>
    <row r="66">
      <c r="A66" s="44" t="inlineStr">
        <is>
          <t>3 AWG</t>
        </is>
      </c>
      <c r="B66" s="39" t="n">
        <v>52620</v>
      </c>
    </row>
    <row r="67">
      <c r="A67" s="44" t="inlineStr">
        <is>
          <t>2 AWG</t>
        </is>
      </c>
      <c r="B67" s="39" t="n">
        <v>66360</v>
      </c>
    </row>
    <row r="68">
      <c r="A68" s="44" t="inlineStr">
        <is>
          <t>1 AWG</t>
        </is>
      </c>
      <c r="B68" s="39" t="n">
        <v>83690</v>
      </c>
    </row>
    <row r="69">
      <c r="A69" s="44" t="inlineStr">
        <is>
          <t>1/0 AWG</t>
        </is>
      </c>
      <c r="B69" s="39" t="n">
        <v>105600</v>
      </c>
    </row>
    <row r="70">
      <c r="A70" s="44" t="inlineStr">
        <is>
          <t>2/0 AWG</t>
        </is>
      </c>
      <c r="B70" s="39" t="n">
        <v>133100</v>
      </c>
    </row>
    <row r="71">
      <c r="A71" s="44" t="inlineStr">
        <is>
          <t>3/0 AWG</t>
        </is>
      </c>
      <c r="B71" s="39" t="n">
        <v>167800</v>
      </c>
    </row>
    <row r="72">
      <c r="A72" s="44" t="inlineStr">
        <is>
          <t>4/0 AWG</t>
        </is>
      </c>
      <c r="B72" s="39" t="n">
        <v>211600</v>
      </c>
    </row>
    <row r="74" ht="20" customHeight="1">
      <c r="A74" s="35" t="inlineStr">
        <is>
          <t>OHM’S LAW &amp; POWER - volts, amps, ohms, watts</t>
        </is>
      </c>
    </row>
    <row r="75">
      <c r="A75" s="14" t="inlineStr">
        <is>
          <t>From volts &amp; amps:</t>
        </is>
      </c>
    </row>
    <row r="76">
      <c r="A76" s="9" t="inlineStr">
        <is>
          <t>Volts</t>
        </is>
      </c>
      <c r="B76" s="36" t="n">
        <v>240</v>
      </c>
    </row>
    <row r="77">
      <c r="A77" s="9" t="inlineStr">
        <is>
          <t>Amps</t>
        </is>
      </c>
      <c r="B77" s="45" t="n">
        <v>18.75</v>
      </c>
    </row>
    <row r="78">
      <c r="A78" s="14" t="inlineStr">
        <is>
          <t>RESISTANCE (ohms)</t>
        </is>
      </c>
      <c r="B78" s="40">
        <f>IF(B77&gt;0,B76/B77,0)</f>
        <v/>
      </c>
    </row>
    <row r="79">
      <c r="A79" s="14" t="inlineStr">
        <is>
          <t>POWER (W)</t>
        </is>
      </c>
      <c r="B79" s="46">
        <f>B76*B77</f>
        <v/>
      </c>
    </row>
    <row r="80">
      <c r="A80" s="9" t="inlineStr">
        <is>
          <t>Power (kW)</t>
        </is>
      </c>
      <c r="B80" s="38">
        <f>B79/1000</f>
        <v/>
      </c>
    </row>
    <row r="81">
      <c r="A81" s="14" t="inlineStr">
        <is>
          <t>From watts &amp; volts:</t>
        </is>
      </c>
    </row>
    <row r="82">
      <c r="A82" s="9" t="inlineStr">
        <is>
          <t>Watts</t>
        </is>
      </c>
      <c r="B82" s="36" t="n">
        <v>4500</v>
      </c>
    </row>
    <row r="83">
      <c r="A83" s="9" t="inlineStr">
        <is>
          <t>Volts</t>
        </is>
      </c>
      <c r="B83" s="36" t="n">
        <v>240</v>
      </c>
    </row>
    <row r="84">
      <c r="A84" s="14" t="inlineStr">
        <is>
          <t>DRAW (amps)</t>
        </is>
      </c>
      <c r="B84" s="40">
        <f>IF(B83&gt;0,B82/B83,0)</f>
        <v/>
      </c>
    </row>
    <row r="85">
      <c r="A85" s="9" t="inlineStr">
        <is>
          <t>Resistance (ohms)</t>
        </is>
      </c>
      <c r="B85" s="38">
        <f>IF(B84&gt;0,B83/B84,0)</f>
        <v/>
      </c>
    </row>
    <row r="86" ht="28" customHeight="1">
      <c r="A86" s="43" t="inlineStr">
        <is>
          <t>The water-heater check: a 4,500 W element on 240 V draws 18.75 A and measures 12.8 ohms cold-ish on a meter. Way off 12.8 means the element is going. V = I × R, P = V × I - the two panels above are the same law run both directions.</t>
        </is>
      </c>
    </row>
    <row r="88" ht="20" customHeight="1">
      <c r="A88" s="35" t="inlineStr">
        <is>
          <t>LOOKUP - WIRE AMPACITY (NEC Table 310.16)</t>
        </is>
      </c>
    </row>
    <row r="89" ht="28" customHeight="1">
      <c r="A89" s="43" t="inlineStr">
        <is>
          <t>Allowable ampacity, 30°C ambient, not more than three current-carrying conductors in a raceway or cable. The 75°C copper column is the one most terminations are based on. Max breaker is the NEC 240.4(D) cap for small conductors.</t>
        </is>
      </c>
    </row>
    <row r="90">
      <c r="A90" s="47" t="inlineStr">
        <is>
          <t>Size</t>
        </is>
      </c>
      <c r="B90" s="47" t="inlineStr">
        <is>
          <t>Copper 60°C</t>
        </is>
      </c>
      <c r="C90" s="47" t="inlineStr">
        <is>
          <t>Copper 75°C</t>
        </is>
      </c>
      <c r="D90" s="47" t="inlineStr">
        <is>
          <t>Copper 90°C</t>
        </is>
      </c>
      <c r="E90" s="47" t="inlineStr">
        <is>
          <t>Aluminum 75°C</t>
        </is>
      </c>
      <c r="F90" s="47" t="inlineStr">
        <is>
          <t>Max breaker</t>
        </is>
      </c>
    </row>
    <row r="91">
      <c r="A91" s="44" t="inlineStr">
        <is>
          <t>14 AWG</t>
        </is>
      </c>
      <c r="B91" s="44" t="n">
        <v>15</v>
      </c>
      <c r="C91" s="44" t="n">
        <v>20</v>
      </c>
      <c r="D91" s="44" t="n">
        <v>25</v>
      </c>
      <c r="E91" s="44" t="inlineStr">
        <is>
          <t>—</t>
        </is>
      </c>
      <c r="F91" s="44" t="n">
        <v>15</v>
      </c>
    </row>
    <row r="92">
      <c r="A92" s="44" t="inlineStr">
        <is>
          <t>12 AWG</t>
        </is>
      </c>
      <c r="B92" s="44" t="n">
        <v>20</v>
      </c>
      <c r="C92" s="44" t="n">
        <v>25</v>
      </c>
      <c r="D92" s="44" t="n">
        <v>30</v>
      </c>
      <c r="E92" s="44" t="n">
        <v>20</v>
      </c>
      <c r="F92" s="44" t="n">
        <v>20</v>
      </c>
    </row>
    <row r="93">
      <c r="A93" s="44" t="inlineStr">
        <is>
          <t>10 AWG</t>
        </is>
      </c>
      <c r="B93" s="44" t="n">
        <v>30</v>
      </c>
      <c r="C93" s="44" t="n">
        <v>35</v>
      </c>
      <c r="D93" s="44" t="n">
        <v>40</v>
      </c>
      <c r="E93" s="44" t="n">
        <v>30</v>
      </c>
      <c r="F93" s="44" t="n">
        <v>30</v>
      </c>
    </row>
    <row r="94">
      <c r="A94" s="44" t="inlineStr">
        <is>
          <t>8 AWG</t>
        </is>
      </c>
      <c r="B94" s="44" t="n">
        <v>40</v>
      </c>
      <c r="C94" s="44" t="n">
        <v>50</v>
      </c>
      <c r="D94" s="44" t="n">
        <v>55</v>
      </c>
      <c r="E94" s="44" t="n">
        <v>40</v>
      </c>
      <c r="F94" s="44" t="inlineStr">
        <is>
          <t>—</t>
        </is>
      </c>
    </row>
    <row r="95">
      <c r="A95" s="44" t="inlineStr">
        <is>
          <t>6 AWG</t>
        </is>
      </c>
      <c r="B95" s="44" t="n">
        <v>55</v>
      </c>
      <c r="C95" s="44" t="n">
        <v>65</v>
      </c>
      <c r="D95" s="44" t="n">
        <v>75</v>
      </c>
      <c r="E95" s="44" t="n">
        <v>50</v>
      </c>
      <c r="F95" s="44" t="inlineStr">
        <is>
          <t>—</t>
        </is>
      </c>
    </row>
    <row r="96">
      <c r="A96" s="44" t="inlineStr">
        <is>
          <t>4 AWG</t>
        </is>
      </c>
      <c r="B96" s="44" t="n">
        <v>70</v>
      </c>
      <c r="C96" s="44" t="n">
        <v>85</v>
      </c>
      <c r="D96" s="44" t="n">
        <v>95</v>
      </c>
      <c r="E96" s="44" t="n">
        <v>65</v>
      </c>
      <c r="F96" s="44" t="inlineStr">
        <is>
          <t>—</t>
        </is>
      </c>
    </row>
    <row r="97">
      <c r="A97" s="44" t="inlineStr">
        <is>
          <t>3 AWG</t>
        </is>
      </c>
      <c r="B97" s="44" t="n">
        <v>85</v>
      </c>
      <c r="C97" s="44" t="n">
        <v>100</v>
      </c>
      <c r="D97" s="44" t="n">
        <v>115</v>
      </c>
      <c r="E97" s="44" t="n">
        <v>75</v>
      </c>
      <c r="F97" s="44" t="inlineStr">
        <is>
          <t>—</t>
        </is>
      </c>
    </row>
    <row r="98">
      <c r="A98" s="44" t="inlineStr">
        <is>
          <t>2 AWG</t>
        </is>
      </c>
      <c r="B98" s="44" t="n">
        <v>95</v>
      </c>
      <c r="C98" s="44" t="n">
        <v>115</v>
      </c>
      <c r="D98" s="44" t="n">
        <v>130</v>
      </c>
      <c r="E98" s="44" t="n">
        <v>90</v>
      </c>
      <c r="F98" s="44" t="inlineStr">
        <is>
          <t>—</t>
        </is>
      </c>
    </row>
    <row r="99">
      <c r="A99" s="44" t="inlineStr">
        <is>
          <t>1 AWG</t>
        </is>
      </c>
      <c r="B99" s="44" t="n">
        <v>110</v>
      </c>
      <c r="C99" s="44" t="n">
        <v>130</v>
      </c>
      <c r="D99" s="44" t="n">
        <v>145</v>
      </c>
      <c r="E99" s="44" t="n">
        <v>100</v>
      </c>
      <c r="F99" s="44" t="inlineStr">
        <is>
          <t>—</t>
        </is>
      </c>
    </row>
    <row r="100">
      <c r="A100" s="44" t="inlineStr">
        <is>
          <t>1/0 AWG</t>
        </is>
      </c>
      <c r="B100" s="44" t="n">
        <v>125</v>
      </c>
      <c r="C100" s="44" t="n">
        <v>150</v>
      </c>
      <c r="D100" s="44" t="n">
        <v>170</v>
      </c>
      <c r="E100" s="44" t="n">
        <v>120</v>
      </c>
      <c r="F100" s="44" t="inlineStr">
        <is>
          <t>—</t>
        </is>
      </c>
    </row>
    <row r="101">
      <c r="A101" s="44" t="inlineStr">
        <is>
          <t>2/0 AWG</t>
        </is>
      </c>
      <c r="B101" s="44" t="n">
        <v>145</v>
      </c>
      <c r="C101" s="44" t="n">
        <v>175</v>
      </c>
      <c r="D101" s="44" t="n">
        <v>195</v>
      </c>
      <c r="E101" s="44" t="n">
        <v>135</v>
      </c>
      <c r="F101" s="44" t="inlineStr">
        <is>
          <t>—</t>
        </is>
      </c>
    </row>
    <row r="102">
      <c r="A102" s="44" t="inlineStr">
        <is>
          <t>3/0 AWG</t>
        </is>
      </c>
      <c r="B102" s="44" t="n">
        <v>165</v>
      </c>
      <c r="C102" s="44" t="n">
        <v>200</v>
      </c>
      <c r="D102" s="44" t="n">
        <v>225</v>
      </c>
      <c r="E102" s="44" t="n">
        <v>155</v>
      </c>
      <c r="F102" s="44" t="inlineStr">
        <is>
          <t>—</t>
        </is>
      </c>
    </row>
    <row r="103">
      <c r="A103" s="44" t="inlineStr">
        <is>
          <t>4/0 AWG</t>
        </is>
      </c>
      <c r="B103" s="44" t="n">
        <v>195</v>
      </c>
      <c r="C103" s="44" t="n">
        <v>230</v>
      </c>
      <c r="D103" s="44" t="n">
        <v>260</v>
      </c>
      <c r="E103" s="44" t="n">
        <v>180</v>
      </c>
      <c r="F103" s="44" t="inlineStr">
        <is>
          <t>—</t>
        </is>
      </c>
    </row>
    <row r="104">
      <c r="A104" s="44" t="inlineStr">
        <is>
          <t>250 kcmil</t>
        </is>
      </c>
      <c r="B104" s="44" t="n">
        <v>215</v>
      </c>
      <c r="C104" s="44" t="n">
        <v>255</v>
      </c>
      <c r="D104" s="44" t="n">
        <v>290</v>
      </c>
      <c r="E104" s="44" t="n">
        <v>205</v>
      </c>
      <c r="F104" s="44" t="inlineStr">
        <is>
          <t>—</t>
        </is>
      </c>
    </row>
    <row r="105">
      <c r="A105" s="44" t="inlineStr">
        <is>
          <t>300 kcmil</t>
        </is>
      </c>
      <c r="B105" s="44" t="n">
        <v>240</v>
      </c>
      <c r="C105" s="44" t="n">
        <v>285</v>
      </c>
      <c r="D105" s="44" t="n">
        <v>320</v>
      </c>
      <c r="E105" s="44" t="n">
        <v>230</v>
      </c>
      <c r="F105" s="44" t="inlineStr">
        <is>
          <t>—</t>
        </is>
      </c>
    </row>
    <row r="106">
      <c r="A106" s="44" t="inlineStr">
        <is>
          <t>500 kcmil</t>
        </is>
      </c>
      <c r="B106" s="44" t="n">
        <v>320</v>
      </c>
      <c r="C106" s="44" t="n">
        <v>380</v>
      </c>
      <c r="D106" s="44" t="n">
        <v>430</v>
      </c>
      <c r="E106" s="44" t="n">
        <v>310</v>
      </c>
      <c r="F106" s="44" t="inlineStr">
        <is>
          <t>—</t>
        </is>
      </c>
    </row>
    <row r="107" ht="28" customHeight="1">
      <c r="A107" s="43" t="inlineStr">
        <is>
          <t>The 90°C column is for derating math only - equipment terminations usually cap the job at the 60°C or 75°C column (NEC 110.14(C)). More than three current-carrying conductors, or a hot attic, and the table number gets adjusted down.</t>
        </is>
      </c>
    </row>
  </sheetData>
  <mergeCells count="14">
    <mergeCell ref="A107:F107"/>
    <mergeCell ref="A44:C44"/>
    <mergeCell ref="A1:C1"/>
    <mergeCell ref="A59:C59"/>
    <mergeCell ref="A16:C16"/>
    <mergeCell ref="A14:C14"/>
    <mergeCell ref="A74:C74"/>
    <mergeCell ref="A89:F89"/>
    <mergeCell ref="A56:C56"/>
    <mergeCell ref="A88:F88"/>
    <mergeCell ref="A4:C4"/>
    <mergeCell ref="A57:C57"/>
    <mergeCell ref="A2:C2"/>
    <mergeCell ref="A86:C86"/>
  </mergeCells>
  <dataValidations count="5">
    <dataValidation sqref="B5" showDropDown="0" showInputMessage="0" showErrorMessage="0" allowBlank="0" type="list">
      <formula1>"1/2″ EMT,3/4″ EMT,1″ EMT,1-1/4″ EMT,1-1/2″ EMT,2″ EMT,2-1/2″ EMT,3″ EMT,4″ EMT"</formula1>
    </dataValidation>
    <dataValidation sqref="B6" showDropDown="0" showInputMessage="0" showErrorMessage="0" allowBlank="0" type="list">
      <formula1>"14 AWG,12 AWG,10 AWG,8 AWG,6 AWG,4 AWG,3 AWG,2 AWG,1 AWG,1/0 AWG,2/0 AWG,3/0 AWG,4/0 AWG"</formula1>
    </dataValidation>
    <dataValidation sqref="B48" showDropDown="0" showInputMessage="0" showErrorMessage="0" allowBlank="0" error="Pick from the list" prompt="Pick from the dropdown" type="list">
      <formula1>"14 AWG,12 AWG,10 AWG,8 AWG,6 AWG,4 AWG,3 AWG,2 AWG,1 AWG,1/0 AWG,2/0 AWG,3/0 AWG,4/0 AWG"</formula1>
    </dataValidation>
    <dataValidation sqref="B49" showDropDown="0" showInputMessage="0" showErrorMessage="0" allowBlank="0" error="Pick from the list" prompt="Pick from the dropdown" type="list">
      <formula1>"Copper,Aluminum"</formula1>
    </dataValidation>
    <dataValidation sqref="B50" showDropDown="0" showInputMessage="0" showErrorMessage="0" allowBlank="0" error="Pick from the list" prompt="Pick from the dropdown" type="list">
      <formula1>"Single phase,Three phase"</formula1>
    </dataValidation>
  </dataValidations>
  <printOptions horizontalCentered="1"/>
  <pageMargins left="0.75" right="0.75" top="1" bottom="1" header="0.5" footer="0.5"/>
  <pageSetup orientation="portrait" fitToWidth="1"/>
  <headerFooter>
    <oddHeader>&amp;C&amp;11 Highway 38 Solutions</oddHeader>
    <oddFooter/>
    <evenHeader>&amp;C&amp;11 Highway 38 Solutions</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G96"/>
  <sheetViews>
    <sheetView workbookViewId="0">
      <selection activeCell="A1" sqref="A1"/>
    </sheetView>
  </sheetViews>
  <sheetFormatPr baseColWidth="8" defaultRowHeight="15"/>
  <cols>
    <col width="46" customWidth="1" min="1" max="1"/>
    <col width="12.5" customWidth="1" min="2" max="2"/>
    <col width="12.5" customWidth="1" min="3" max="3"/>
    <col width="12.5" customWidth="1" min="4" max="4"/>
    <col width="12.5" customWidth="1" min="5" max="5"/>
    <col width="12.5" customWidth="1" min="6" max="6"/>
    <col width="12.5" customWidth="1" min="7" max="7"/>
  </cols>
  <sheetData>
    <row r="1" ht="24" customHeight="1">
      <c r="A1" s="56" t="inlineStr">
        <is>
          <t>ELECTRICAL REFERENCE - Circuit pairings, conduit-fill counts &amp; box fill</t>
        </is>
      </c>
    </row>
    <row r="2" ht="28" customHeight="1">
      <c r="A2" s="57" t="inlineStr">
        <is>
          <t>The quick answers before the full code book comes out: which breaker goes with which wire, how many wires fit, and how much box a job needs. Full ampacity chart and calculators are on the Electrical sheet.</t>
        </is>
      </c>
    </row>
    <row r="4" ht="20" customHeight="1">
      <c r="A4" s="35" t="inlineStr">
        <is>
          <t>COMMON CIRCUITS - breaker and copper wire pairings (residential)</t>
        </is>
      </c>
    </row>
    <row r="5">
      <c r="A5" s="14" t="inlineStr">
        <is>
          <t>Circuit</t>
        </is>
      </c>
      <c r="B5" s="14" t="inlineStr">
        <is>
          <t>Breaker (A)</t>
        </is>
      </c>
      <c r="C5" s="14" t="inlineStr">
        <is>
          <t>Copper wire</t>
        </is>
      </c>
    </row>
    <row r="6">
      <c r="A6" s="9" t="inlineStr">
        <is>
          <t>Lighting and general receptacles</t>
        </is>
      </c>
      <c r="B6" s="9" t="n">
        <v>15</v>
      </c>
      <c r="C6" s="9" t="inlineStr">
        <is>
          <t>14 AWG</t>
        </is>
      </c>
    </row>
    <row r="7">
      <c r="A7" s="9" t="inlineStr">
        <is>
          <t>General receptacles - 20-amp circuits</t>
        </is>
      </c>
      <c r="B7" s="9" t="n">
        <v>20</v>
      </c>
      <c r="C7" s="9" t="inlineStr">
        <is>
          <t>12 AWG</t>
        </is>
      </c>
    </row>
    <row r="8">
      <c r="A8" s="9" t="inlineStr">
        <is>
          <t>Kitchen small-appliance circuits (two required)</t>
        </is>
      </c>
      <c r="B8" s="9" t="n">
        <v>20</v>
      </c>
      <c r="C8" s="9" t="inlineStr">
        <is>
          <t>12 AWG</t>
        </is>
      </c>
    </row>
    <row r="9">
      <c r="A9" s="9" t="inlineStr">
        <is>
          <t>Bathroom receptacle circuit</t>
        </is>
      </c>
      <c r="B9" s="9" t="n">
        <v>20</v>
      </c>
      <c r="C9" s="9" t="inlineStr">
        <is>
          <t>12 AWG</t>
        </is>
      </c>
    </row>
    <row r="10">
      <c r="A10" s="9" t="inlineStr">
        <is>
          <t>Laundry receptacle circuit</t>
        </is>
      </c>
      <c r="B10" s="9" t="n">
        <v>20</v>
      </c>
      <c r="C10" s="9" t="inlineStr">
        <is>
          <t>12 AWG</t>
        </is>
      </c>
    </row>
    <row r="11">
      <c r="A11" s="9" t="inlineStr">
        <is>
          <t>Dishwasher or garbage disposal (dedicated)</t>
        </is>
      </c>
      <c r="B11" s="9" t="n">
        <v>15</v>
      </c>
      <c r="C11" s="9" t="inlineStr">
        <is>
          <t>14 AWG</t>
        </is>
      </c>
    </row>
    <row r="12">
      <c r="A12" s="9" t="inlineStr">
        <is>
          <t>Microwave (dedicated)</t>
        </is>
      </c>
      <c r="B12" s="9" t="n">
        <v>20</v>
      </c>
      <c r="C12" s="9" t="inlineStr">
        <is>
          <t>12 AWG</t>
        </is>
      </c>
    </row>
    <row r="13">
      <c r="A13" s="9" t="inlineStr">
        <is>
          <t>Water heater, 4,500 W at 240 V</t>
        </is>
      </c>
      <c r="B13" s="9" t="n">
        <v>30</v>
      </c>
      <c r="C13" s="9" t="inlineStr">
        <is>
          <t>10 AWG</t>
        </is>
      </c>
    </row>
    <row r="14">
      <c r="A14" s="9" t="inlineStr">
        <is>
          <t>Electric clothes dryer</t>
        </is>
      </c>
      <c r="B14" s="9" t="n">
        <v>30</v>
      </c>
      <c r="C14" s="9" t="inlineStr">
        <is>
          <t>10 AWG</t>
        </is>
      </c>
    </row>
    <row r="15">
      <c r="A15" s="9" t="inlineStr">
        <is>
          <t>Range or cooktop, up to 12 kW</t>
        </is>
      </c>
      <c r="B15" s="9" t="n">
        <v>40</v>
      </c>
      <c r="C15" s="9" t="inlineStr">
        <is>
          <t>8 AWG</t>
        </is>
      </c>
    </row>
    <row r="16">
      <c r="A16" s="9" t="inlineStr">
        <is>
          <t>Large range / 50-amp receptacle</t>
        </is>
      </c>
      <c r="B16" s="9" t="n">
        <v>50</v>
      </c>
      <c r="C16" s="9" t="inlineStr">
        <is>
          <t>6 AWG</t>
        </is>
      </c>
    </row>
    <row r="17">
      <c r="A17" s="9" t="inlineStr">
        <is>
          <t>EV charger, 48 A continuous (60 A circuit)</t>
        </is>
      </c>
      <c r="B17" s="9" t="n">
        <v>60</v>
      </c>
      <c r="C17" s="9" t="inlineStr">
        <is>
          <t>6 AWG THHN</t>
        </is>
      </c>
    </row>
    <row r="18">
      <c r="A18" s="9" t="inlineStr">
        <is>
          <t>Central A/C or heat pump</t>
        </is>
      </c>
      <c r="B18" s="9" t="inlineStr">
        <is>
          <t>Nameplate</t>
        </is>
      </c>
      <c r="C18" s="9" t="inlineStr">
        <is>
          <t>Per nameplate MCA</t>
        </is>
      </c>
    </row>
    <row r="19" ht="56" customHeight="1">
      <c r="A19" s="61" t="inlineStr">
        <is>
          <t>Breaker caps come from NEC 240.4(D): 14 AWG copper tops out at a 15 A breaker, 12 AWG at 20 A, 10 AWG at 30 A - even though the wire itself carries more in the 75 °C column. Continuous loads (EV chargers, heaters run 3+ hours) are sized at 125%. The EV row is THHN in conduit; run in NM-B cable the same charger tops out on a 50 A breaker. Air conditioners and motors play by their nameplate (MCA and max breaker), not this table.</t>
        </is>
      </c>
    </row>
    <row r="21" ht="20" customHeight="1">
      <c r="A21" s="35" t="inlineStr">
        <is>
          <t>CONDUIT FILL - most THHN wires that fit in EMT (at the 40% limit)</t>
        </is>
      </c>
    </row>
    <row r="22">
      <c r="A22" s="14" t="inlineStr">
        <is>
          <t>Wire size (THHN)</t>
        </is>
      </c>
      <c r="B22" s="14" t="inlineStr">
        <is>
          <t>1/2″ EMT</t>
        </is>
      </c>
      <c r="C22" s="14" t="inlineStr">
        <is>
          <t>3/4″ EMT</t>
        </is>
      </c>
      <c r="D22" s="14" t="inlineStr">
        <is>
          <t>1″ EMT</t>
        </is>
      </c>
      <c r="E22" s="14" t="inlineStr">
        <is>
          <t>1-1/4″ EMT</t>
        </is>
      </c>
      <c r="F22" s="14" t="inlineStr">
        <is>
          <t>1-1/2″ EMT</t>
        </is>
      </c>
      <c r="G22" s="14" t="inlineStr">
        <is>
          <t>2″ EMT</t>
        </is>
      </c>
    </row>
    <row r="23">
      <c r="A23" s="9" t="inlineStr">
        <is>
          <t>14 AWG</t>
        </is>
      </c>
      <c r="B23" s="66" t="n">
        <v>12</v>
      </c>
      <c r="C23" s="66" t="n">
        <v>21</v>
      </c>
      <c r="D23" s="66" t="n">
        <v>35</v>
      </c>
      <c r="E23" s="66" t="n">
        <v>61</v>
      </c>
      <c r="F23" s="66" t="n">
        <v>83</v>
      </c>
      <c r="G23" s="66" t="n">
        <v>138</v>
      </c>
    </row>
    <row r="24">
      <c r="A24" s="9" t="inlineStr">
        <is>
          <t>12 AWG</t>
        </is>
      </c>
      <c r="B24" s="66" t="n">
        <v>9</v>
      </c>
      <c r="C24" s="66" t="n">
        <v>16</v>
      </c>
      <c r="D24" s="66" t="n">
        <v>25</v>
      </c>
      <c r="E24" s="66" t="n">
        <v>44</v>
      </c>
      <c r="F24" s="66" t="n">
        <v>61</v>
      </c>
      <c r="G24" s="66" t="n">
        <v>100</v>
      </c>
    </row>
    <row r="25">
      <c r="A25" s="9" t="inlineStr">
        <is>
          <t>10 AWG</t>
        </is>
      </c>
      <c r="B25" s="66" t="n">
        <v>5</v>
      </c>
      <c r="C25" s="66" t="n">
        <v>10</v>
      </c>
      <c r="D25" s="66" t="n">
        <v>16</v>
      </c>
      <c r="E25" s="66" t="n">
        <v>28</v>
      </c>
      <c r="F25" s="66" t="n">
        <v>38</v>
      </c>
      <c r="G25" s="66" t="n">
        <v>63</v>
      </c>
    </row>
    <row r="26">
      <c r="A26" s="9" t="inlineStr">
        <is>
          <t>8 AWG</t>
        </is>
      </c>
      <c r="B26" s="66" t="n">
        <v>3</v>
      </c>
      <c r="C26" s="66" t="n">
        <v>5</v>
      </c>
      <c r="D26" s="66" t="n">
        <v>9</v>
      </c>
      <c r="E26" s="66" t="n">
        <v>16</v>
      </c>
      <c r="F26" s="66" t="n">
        <v>22</v>
      </c>
      <c r="G26" s="66" t="n">
        <v>36</v>
      </c>
    </row>
    <row r="27">
      <c r="A27" s="9" t="inlineStr">
        <is>
          <t>6 AWG</t>
        </is>
      </c>
      <c r="B27" s="66" t="n">
        <v>2</v>
      </c>
      <c r="C27" s="66" t="n">
        <v>4</v>
      </c>
      <c r="D27" s="66" t="n">
        <v>6</v>
      </c>
      <c r="E27" s="66" t="n">
        <v>11</v>
      </c>
      <c r="F27" s="66" t="n">
        <v>16</v>
      </c>
      <c r="G27" s="66" t="n">
        <v>26</v>
      </c>
    </row>
    <row r="28">
      <c r="A28" s="9" t="inlineStr">
        <is>
          <t>4 AWG</t>
        </is>
      </c>
      <c r="B28" s="66" t="n">
        <v>1</v>
      </c>
      <c r="C28" s="66" t="n">
        <v>2</v>
      </c>
      <c r="D28" s="66" t="n">
        <v>4</v>
      </c>
      <c r="E28" s="66" t="n">
        <v>7</v>
      </c>
      <c r="F28" s="66" t="n">
        <v>9</v>
      </c>
      <c r="G28" s="66" t="n">
        <v>16</v>
      </c>
    </row>
    <row r="29">
      <c r="A29" s="9" t="inlineStr">
        <is>
          <t>3 AWG</t>
        </is>
      </c>
      <c r="B29" s="66" t="n">
        <v>1</v>
      </c>
      <c r="C29" s="66" t="n">
        <v>2</v>
      </c>
      <c r="D29" s="66" t="n">
        <v>3</v>
      </c>
      <c r="E29" s="66" t="n">
        <v>6</v>
      </c>
      <c r="F29" s="66" t="n">
        <v>8</v>
      </c>
      <c r="G29" s="66" t="n">
        <v>13</v>
      </c>
    </row>
    <row r="30">
      <c r="A30" s="9" t="inlineStr">
        <is>
          <t>2 AWG</t>
        </is>
      </c>
      <c r="B30" s="66" t="n">
        <v>1</v>
      </c>
      <c r="C30" s="66" t="n">
        <v>1</v>
      </c>
      <c r="D30" s="66" t="n">
        <v>2</v>
      </c>
      <c r="E30" s="66" t="n">
        <v>5</v>
      </c>
      <c r="F30" s="66" t="n">
        <v>7</v>
      </c>
      <c r="G30" s="66" t="n">
        <v>11</v>
      </c>
    </row>
    <row r="31" ht="56" customHeight="1">
      <c r="A31" s="61" t="inlineStr">
        <is>
          <t>Counts include every wire in the pipe, grounds too, and are figured from the same NEC Chapter 9 areas printed on the Electrical sheet. They are for three or more wires (40% fill); one wire may fill 53% and two wires 31%. NEC Annex C can differ by one wire - it works from unrounded areas. Legal and pullable are not the same thing: long runs with bends get miserable well before these counts.</t>
        </is>
      </c>
    </row>
    <row r="33" ht="20" customHeight="1">
      <c r="A33" s="35" t="inlineStr">
        <is>
          <t>BOX FILL - how much room the wires take (NEC 314.16)</t>
        </is>
      </c>
    </row>
    <row r="34">
      <c r="A34" s="14" t="inlineStr">
        <is>
          <t>Wire size</t>
        </is>
      </c>
      <c r="B34" s="14" t="inlineStr">
        <is>
          <t>Cu in per conductor</t>
        </is>
      </c>
    </row>
    <row r="35">
      <c r="A35" s="9" t="inlineStr">
        <is>
          <t>14 AWG</t>
        </is>
      </c>
      <c r="B35" s="64" t="n">
        <v>2</v>
      </c>
    </row>
    <row r="36">
      <c r="A36" s="9" t="inlineStr">
        <is>
          <t>12 AWG</t>
        </is>
      </c>
      <c r="B36" s="64" t="n">
        <v>2.25</v>
      </c>
    </row>
    <row r="37">
      <c r="A37" s="9" t="inlineStr">
        <is>
          <t>10 AWG</t>
        </is>
      </c>
      <c r="B37" s="64" t="n">
        <v>2.5</v>
      </c>
    </row>
    <row r="38">
      <c r="A38" s="9" t="inlineStr">
        <is>
          <t>8 AWG</t>
        </is>
      </c>
      <c r="B38" s="64" t="n">
        <v>3</v>
      </c>
    </row>
    <row r="39">
      <c r="A39" s="9" t="inlineStr">
        <is>
          <t>6 AWG</t>
        </is>
      </c>
      <c r="B39" s="64" t="n">
        <v>5</v>
      </c>
    </row>
    <row r="40" ht="42" customHeight="1">
      <c r="A40" s="61" t="inlineStr">
        <is>
          <t>How to count a box: each current-carrying conductor counts once at the size above. All the ground wires together count once. All internal cable clamps together count once. Each switch or receptacle (one yoke) counts twice. Everything is figured at the largest wire in the box.</t>
        </is>
      </c>
    </row>
    <row r="41">
      <c r="A41" s="14" t="inlineStr">
        <is>
          <t>Common boxes</t>
        </is>
      </c>
      <c r="B41" s="14" t="inlineStr">
        <is>
          <t>Volume (cu in)</t>
        </is>
      </c>
    </row>
    <row r="42">
      <c r="A42" s="9" t="inlineStr">
        <is>
          <t>4 in octagon, 1-1/2 in deep</t>
        </is>
      </c>
      <c r="B42" s="62" t="n">
        <v>12.5</v>
      </c>
    </row>
    <row r="43">
      <c r="A43" s="9" t="inlineStr">
        <is>
          <t>4 in octagon, 2-1/8 in deep</t>
        </is>
      </c>
      <c r="B43" s="62" t="n">
        <v>21.5</v>
      </c>
    </row>
    <row r="44">
      <c r="A44" s="9" t="inlineStr">
        <is>
          <t>4 in square, 1-1/2 in deep</t>
        </is>
      </c>
      <c r="B44" s="62" t="n">
        <v>18</v>
      </c>
    </row>
    <row r="45">
      <c r="A45" s="9" t="inlineStr">
        <is>
          <t>4 in square, 2-1/8 in deep</t>
        </is>
      </c>
      <c r="B45" s="62" t="n">
        <v>30.3</v>
      </c>
    </row>
    <row r="46">
      <c r="A46" s="9" t="inlineStr">
        <is>
          <t>4-11/16 in square, 1-1/2 in deep</t>
        </is>
      </c>
      <c r="B46" s="62" t="n">
        <v>25.5</v>
      </c>
    </row>
    <row r="47">
      <c r="A47" s="9" t="inlineStr">
        <is>
          <t>4-11/16 in square, 2-1/8 in deep</t>
        </is>
      </c>
      <c r="B47" s="62" t="n">
        <v>42</v>
      </c>
    </row>
    <row r="48">
      <c r="A48" s="9" t="inlineStr">
        <is>
          <t>Handy box, 4 × 2-1/8 × 1-7/8 in</t>
        </is>
      </c>
      <c r="B48" s="62" t="n">
        <v>13</v>
      </c>
    </row>
    <row r="49">
      <c r="A49" s="9" t="inlineStr">
        <is>
          <t>Single-gang device box, 2-1/2 in deep</t>
        </is>
      </c>
      <c r="B49" s="62" t="n">
        <v>12.5</v>
      </c>
    </row>
    <row r="50">
      <c r="A50" s="9" t="inlineStr">
        <is>
          <t>Single-gang device box, 3-1/2 in deep</t>
        </is>
      </c>
      <c r="B50" s="62" t="n">
        <v>18</v>
      </c>
    </row>
    <row r="51" ht="56" customHeight="1">
      <c r="A51" s="61" t="inlineStr">
        <is>
          <t>Worked example, 12 AWG in a 4 in square × 1-1/2 in box (18.0 cu in): two cables in and out (4 conductors) + grounds (1) + clamps (1) + one receptacle (2) = 8 allowances × 2.25 = 18.0 cu in - exactly full on paper and a fight in real life. Step up to the 2-1/8 in deep box (30.3 cu in). Plastic boxes are stamped with their own volume - go by the stamp, not this table.</t>
        </is>
      </c>
    </row>
    <row r="53" ht="42" customHeight="1">
      <c r="A53" s="61" t="inlineStr">
        <is>
          <t>Sources: NEC Table 310.16 and 240.4(D) for the pairings (full chart on the Electrical sheet); NEC Chapter 9 Tables 4 and 5 for conduit and wire areas; NEC 314.16(A) and (B) for box volumes and counting. Local amendments and the equipment nameplate win over any quick table.</t>
        </is>
      </c>
    </row>
    <row r="55">
      <c r="A55" s="35" t="inlineStr">
        <is>
          <t>CONDUIT BENDING - multipliers, shrink &amp; take-up (offsets and 90° stubs)</t>
        </is>
      </c>
    </row>
    <row r="56">
      <c r="A56" s="14" t="inlineStr">
        <is>
          <t>Bend angle</t>
        </is>
      </c>
      <c r="B56" s="14" t="inlineStr">
        <is>
          <t>Multiplier (mark spacing ÷ offset)</t>
        </is>
      </c>
      <c r="C56" s="14" t="inlineStr">
        <is>
          <t>Shrink per inch of offset (exact)</t>
        </is>
      </c>
      <c r="D56" s="14" t="inlineStr">
        <is>
          <t>Bender-chart shrink</t>
        </is>
      </c>
      <c r="E56" s="14" t="inlineStr">
        <is>
          <t>What it gets used for</t>
        </is>
      </c>
    </row>
    <row r="57">
      <c r="A57" s="9" t="inlineStr">
        <is>
          <t>10°</t>
        </is>
      </c>
      <c r="B57" s="64">
        <f>1/SIN(RADIANS(10))</f>
        <v/>
      </c>
      <c r="C57" s="67">
        <f>TAN(RADIANS(10/2))</f>
        <v/>
      </c>
      <c r="D57" s="9" t="inlineStr">
        <is>
          <t>1/16 in</t>
        </is>
      </c>
      <c r="E57" s="4" t="inlineStr">
        <is>
          <t>Very shallow offsets, kicks where the pipe stays near the wall</t>
        </is>
      </c>
    </row>
    <row r="58">
      <c r="A58" s="9" t="inlineStr">
        <is>
          <t>22.5°</t>
        </is>
      </c>
      <c r="B58" s="64">
        <f>1/SIN(RADIANS(22.5))</f>
        <v/>
      </c>
      <c r="C58" s="67">
        <f>TAN(RADIANS(22.5/2))</f>
        <v/>
      </c>
      <c r="D58" s="9" t="inlineStr">
        <is>
          <t>3/16 in</t>
        </is>
      </c>
      <c r="E58" s="4" t="inlineStr">
        <is>
          <t>The everyday offset angle - gentle and easy to pull wire through</t>
        </is>
      </c>
    </row>
    <row r="59">
      <c r="A59" s="9" t="inlineStr">
        <is>
          <t>30°</t>
        </is>
      </c>
      <c r="B59" s="64">
        <f>1/SIN(RADIANS(30))</f>
        <v/>
      </c>
      <c r="C59" s="67">
        <f>TAN(RADIANS(30/2))</f>
        <v/>
      </c>
      <c r="D59" s="9" t="inlineStr">
        <is>
          <t>1/4 in</t>
        </is>
      </c>
      <c r="E59" s="4" t="inlineStr">
        <is>
          <t>The standard offset - multiplier 2, the one everybody memorizes</t>
        </is>
      </c>
    </row>
    <row r="60">
      <c r="A60" s="9" t="inlineStr">
        <is>
          <t>45°</t>
        </is>
      </c>
      <c r="B60" s="64">
        <f>1/SIN(RADIANS(45))</f>
        <v/>
      </c>
      <c r="C60" s="67">
        <f>TAN(RADIANS(45/2))</f>
        <v/>
      </c>
      <c r="D60" s="9" t="inlineStr">
        <is>
          <t>3/8 in</t>
        </is>
      </c>
      <c r="E60" s="4" t="inlineStr">
        <is>
          <t>Deep offsets; harder pulls, watch the fill on long runs</t>
        </is>
      </c>
    </row>
    <row r="61">
      <c r="A61" s="9" t="inlineStr">
        <is>
          <t>60°</t>
        </is>
      </c>
      <c r="B61" s="64">
        <f>1/SIN(RADIANS(60))</f>
        <v/>
      </c>
      <c r="C61" s="67">
        <f>TAN(RADIANS(60/2))</f>
        <v/>
      </c>
      <c r="D61" s="9" t="inlineStr">
        <is>
          <t>1/2 in</t>
        </is>
      </c>
      <c r="E61" s="4" t="inlineStr">
        <is>
          <t>Steep kicks and saddles; the most shrink to make up</t>
        </is>
      </c>
    </row>
    <row r="62" ht="42" customHeight="1">
      <c r="A62" s="43" t="inlineStr">
        <is>
          <t>How an offset works: space the two marks (offset depth × multiplier) apart along the conduit, bend the same angle at both marks in opposite directions, and the run shifts sideways by the offset depth. The conduit comes up short by the shrink - that is what the shrink column makes up: exact geometry in the third column, the rounded numbers printed on bender charts in the fourth. Worked example, 6 in offset at 30°: marks 12 in apart, shrink 6 × 0.268 = 1.6 in - measure the first mark 1.6 in farther along than the no-shrink layout.</t>
        </is>
      </c>
    </row>
    <row r="64">
      <c r="A64" s="14" t="inlineStr">
        <is>
          <t>90° stub-up take-up (deduct) by conduit size</t>
        </is>
      </c>
    </row>
    <row r="65">
      <c r="A65" s="14" t="inlineStr">
        <is>
          <t>Conduit (EMT)</t>
        </is>
      </c>
      <c r="B65" s="14" t="inlineStr">
        <is>
          <t>Take-up / setback (in)</t>
        </is>
      </c>
    </row>
    <row r="66">
      <c r="A66" s="9" t="inlineStr">
        <is>
          <t>1/2″</t>
        </is>
      </c>
      <c r="B66" s="9" t="n">
        <v>5</v>
      </c>
    </row>
    <row r="67">
      <c r="A67" s="9" t="inlineStr">
        <is>
          <t>3/4″</t>
        </is>
      </c>
      <c r="B67" s="9" t="n">
        <v>6</v>
      </c>
    </row>
    <row r="68">
      <c r="A68" s="9" t="inlineStr">
        <is>
          <t>1″</t>
        </is>
      </c>
      <c r="B68" s="9" t="n">
        <v>8</v>
      </c>
    </row>
    <row r="69">
      <c r="A69" s="9" t="inlineStr">
        <is>
          <t>1-1/4″</t>
        </is>
      </c>
      <c r="B69" s="9" t="n">
        <v>10</v>
      </c>
    </row>
    <row r="70" ht="30" customHeight="1">
      <c r="A70" s="43" t="inlineStr">
        <is>
          <t>Take-up is the length a 90° bend eats: mark the conduit (finished stub height − take-up) from the end and bend on the mark. These are the values stamped on most hand benders - the number on YOUR bender wins, and larger conduit and shoe benders differ.</t>
        </is>
      </c>
    </row>
    <row r="71" ht="30" customHeight="1">
      <c r="A71" s="43" t="inlineStr">
        <is>
          <t>Sources: offset geometry (multiplier = 1 ÷ sin of the angle; shrink per inch = tan of half the angle) and the standard bender-chart shrink roundings (Benfield / Klein-style charts); take-up values are the common stamped hand-bender deducts.</t>
        </is>
      </c>
    </row>
    <row r="73">
      <c r="A73" s="35" t="inlineStr">
        <is>
          <t>WIRE RESISTANCE - NEC Chapter 9 Table 8 (DC, 75 °C)</t>
        </is>
      </c>
    </row>
    <row r="74">
      <c r="A74" s="14" t="inlineStr">
        <is>
          <t>Conductor size</t>
        </is>
      </c>
      <c r="B74" s="14" t="inlineStr">
        <is>
          <t>Area (circular mils)</t>
        </is>
      </c>
      <c r="C74" s="14" t="inlineStr">
        <is>
          <t>Copper, uncoated (Ω / 1,000 ft)</t>
        </is>
      </c>
      <c r="D74" s="14" t="inlineStr">
        <is>
          <t>Aluminum (Ω / 1,000 ft)</t>
        </is>
      </c>
    </row>
    <row r="75">
      <c r="A75" s="9" t="inlineStr">
        <is>
          <t>18 AWG</t>
        </is>
      </c>
      <c r="B75" s="9" t="n">
        <v>1620</v>
      </c>
      <c r="C75" s="9" t="n">
        <v>7.79</v>
      </c>
      <c r="D75" s="9" t="n">
        <v>12.8</v>
      </c>
    </row>
    <row r="76">
      <c r="A76" s="9" t="inlineStr">
        <is>
          <t>16 AWG</t>
        </is>
      </c>
      <c r="B76" s="9" t="n">
        <v>2580</v>
      </c>
      <c r="C76" s="9" t="n">
        <v>4.89</v>
      </c>
      <c r="D76" s="9" t="n">
        <v>8.050000000000001</v>
      </c>
    </row>
    <row r="77">
      <c r="A77" s="9" t="inlineStr">
        <is>
          <t>14 AWG</t>
        </is>
      </c>
      <c r="B77" s="9" t="n">
        <v>4110</v>
      </c>
      <c r="C77" s="9" t="n">
        <v>3.07</v>
      </c>
      <c r="D77" s="9" t="n">
        <v>5.05</v>
      </c>
    </row>
    <row r="78">
      <c r="A78" s="9" t="inlineStr">
        <is>
          <t>12 AWG</t>
        </is>
      </c>
      <c r="B78" s="9" t="n">
        <v>6530</v>
      </c>
      <c r="C78" s="9" t="n">
        <v>1.93</v>
      </c>
      <c r="D78" s="9" t="n">
        <v>3.18</v>
      </c>
    </row>
    <row r="79">
      <c r="A79" s="9" t="inlineStr">
        <is>
          <t>10 AWG</t>
        </is>
      </c>
      <c r="B79" s="9" t="n">
        <v>10380</v>
      </c>
      <c r="C79" s="9" t="n">
        <v>1.21</v>
      </c>
      <c r="D79" s="9" t="n">
        <v>1.99</v>
      </c>
    </row>
    <row r="80">
      <c r="A80" s="9" t="inlineStr">
        <is>
          <t>8 AWG</t>
        </is>
      </c>
      <c r="B80" s="9" t="n">
        <v>16510</v>
      </c>
      <c r="C80" s="9" t="n">
        <v>0.764</v>
      </c>
      <c r="D80" s="9" t="n">
        <v>1.26</v>
      </c>
    </row>
    <row r="81">
      <c r="A81" s="9" t="inlineStr">
        <is>
          <t>6 AWG</t>
        </is>
      </c>
      <c r="B81" s="9" t="n">
        <v>26240</v>
      </c>
      <c r="C81" s="9" t="n">
        <v>0.491</v>
      </c>
      <c r="D81" s="9" t="n">
        <v>0.8080000000000001</v>
      </c>
    </row>
    <row r="82">
      <c r="A82" s="9" t="inlineStr">
        <is>
          <t>4 AWG</t>
        </is>
      </c>
      <c r="B82" s="9" t="n">
        <v>41740</v>
      </c>
      <c r="C82" s="9" t="n">
        <v>0.308</v>
      </c>
      <c r="D82" s="9" t="n">
        <v>0.508</v>
      </c>
    </row>
    <row r="83">
      <c r="A83" s="9" t="inlineStr">
        <is>
          <t>3 AWG</t>
        </is>
      </c>
      <c r="B83" s="9" t="n">
        <v>52620</v>
      </c>
      <c r="C83" s="9" t="n">
        <v>0.245</v>
      </c>
      <c r="D83" s="9" t="n">
        <v>0.403</v>
      </c>
    </row>
    <row r="84">
      <c r="A84" s="9" t="inlineStr">
        <is>
          <t>2 AWG</t>
        </is>
      </c>
      <c r="B84" s="9" t="n">
        <v>66360</v>
      </c>
      <c r="C84" s="9" t="n">
        <v>0.194</v>
      </c>
      <c r="D84" s="9" t="n">
        <v>0.319</v>
      </c>
    </row>
    <row r="85">
      <c r="A85" s="9" t="inlineStr">
        <is>
          <t>1 AWG</t>
        </is>
      </c>
      <c r="B85" s="9" t="n">
        <v>83690</v>
      </c>
      <c r="C85" s="9" t="n">
        <v>0.154</v>
      </c>
      <c r="D85" s="9" t="n">
        <v>0.253</v>
      </c>
    </row>
    <row r="86">
      <c r="A86" s="9" t="inlineStr">
        <is>
          <t>1/0 AWG</t>
        </is>
      </c>
      <c r="B86" s="9" t="n">
        <v>105600</v>
      </c>
      <c r="C86" s="9" t="n">
        <v>0.122</v>
      </c>
      <c r="D86" s="9" t="n">
        <v>0.201</v>
      </c>
    </row>
    <row r="87">
      <c r="A87" s="9" t="inlineStr">
        <is>
          <t>2/0 AWG</t>
        </is>
      </c>
      <c r="B87" s="9" t="n">
        <v>133100</v>
      </c>
      <c r="C87" s="9" t="n">
        <v>0.09669999999999999</v>
      </c>
      <c r="D87" s="9" t="n">
        <v>0.159</v>
      </c>
    </row>
    <row r="88">
      <c r="A88" s="9" t="inlineStr">
        <is>
          <t>3/0 AWG</t>
        </is>
      </c>
      <c r="B88" s="9" t="n">
        <v>167800</v>
      </c>
      <c r="C88" s="9" t="n">
        <v>0.0766</v>
      </c>
      <c r="D88" s="9" t="n">
        <v>0.126</v>
      </c>
    </row>
    <row r="89">
      <c r="A89" s="9" t="inlineStr">
        <is>
          <t>4/0 AWG</t>
        </is>
      </c>
      <c r="B89" s="9" t="n">
        <v>211600</v>
      </c>
      <c r="C89" s="9" t="n">
        <v>0.0608</v>
      </c>
      <c r="D89" s="9" t="n">
        <v>0.1</v>
      </c>
    </row>
    <row r="90">
      <c r="A90" s="9" t="inlineStr">
        <is>
          <t>250 kcmil</t>
        </is>
      </c>
      <c r="B90" s="9" t="n">
        <v>250000</v>
      </c>
      <c r="C90" s="9" t="n">
        <v>0.0515</v>
      </c>
      <c r="D90" s="9" t="n">
        <v>0.0848</v>
      </c>
    </row>
    <row r="91">
      <c r="A91" s="9" t="inlineStr">
        <is>
          <t>300 kcmil</t>
        </is>
      </c>
      <c r="B91" s="9" t="n">
        <v>300000</v>
      </c>
      <c r="C91" s="9" t="n">
        <v>0.0429</v>
      </c>
      <c r="D91" s="9" t="n">
        <v>0.0707</v>
      </c>
    </row>
    <row r="92">
      <c r="A92" s="9" t="inlineStr">
        <is>
          <t>350 kcmil</t>
        </is>
      </c>
      <c r="B92" s="9" t="n">
        <v>350000</v>
      </c>
      <c r="C92" s="9" t="n">
        <v>0.0367</v>
      </c>
      <c r="D92" s="9" t="n">
        <v>0.0605</v>
      </c>
    </row>
    <row r="93">
      <c r="A93" s="9" t="inlineStr">
        <is>
          <t>400 kcmil</t>
        </is>
      </c>
      <c r="B93" s="9" t="n">
        <v>400000</v>
      </c>
      <c r="C93" s="9" t="n">
        <v>0.0321</v>
      </c>
      <c r="D93" s="9" t="n">
        <v>0.0529</v>
      </c>
    </row>
    <row r="94">
      <c r="A94" s="9" t="inlineStr">
        <is>
          <t>500 kcmil</t>
        </is>
      </c>
      <c r="B94" s="9" t="n">
        <v>500000</v>
      </c>
      <c r="C94" s="9" t="n">
        <v>0.0258</v>
      </c>
      <c r="D94" s="9" t="n">
        <v>0.0424</v>
      </c>
    </row>
    <row r="95" ht="42" customHeight="1">
      <c r="A95" s="43" t="inlineStr">
        <is>
          <t>What it is for: the voltage-drop math. Voltage drop = current × resistance × the whole loop (out AND back - two times the one-way feet). Worked example: 16 A on 12 AWG copper, 100 ft one way: 16 × 1.93 × 200 ÷ 1,000 = 6.2 V dropped - that is the 2.6% the Voltage Drop calculator shows for the same run at 240 V. Resistance climbs about 0.4% per °C of conductor temperature, so a loaded conductor in a hot attic drops more than this table; 75 °C is the standard design value.</t>
        </is>
      </c>
    </row>
    <row r="96" ht="30" customHeight="1">
      <c r="A96" s="43" t="inlineStr">
        <is>
          <t>Source: NEC Chapter 9, Table 8 - conductor properties: direct-current resistance at 75 °C for uncoated copper and for aluminum, with circular-mil areas. Coated (tinned) copper runs slightly higher; stranded values shown (solid differs slightly at small sizes).</t>
        </is>
      </c>
    </row>
  </sheetData>
  <mergeCells count="22">
    <mergeCell ref="E60:G60"/>
    <mergeCell ref="A53:G53"/>
    <mergeCell ref="A4:G4"/>
    <mergeCell ref="A62:G62"/>
    <mergeCell ref="A96:G96"/>
    <mergeCell ref="A19:G19"/>
    <mergeCell ref="E59:G59"/>
    <mergeCell ref="A40:G40"/>
    <mergeCell ref="A31:G31"/>
    <mergeCell ref="E61:G61"/>
    <mergeCell ref="E57:G57"/>
    <mergeCell ref="A73:G73"/>
    <mergeCell ref="A51:G51"/>
    <mergeCell ref="A1:G1"/>
    <mergeCell ref="A70:G70"/>
    <mergeCell ref="E58:G58"/>
    <mergeCell ref="A21:G21"/>
    <mergeCell ref="A55:G55"/>
    <mergeCell ref="A95:G95"/>
    <mergeCell ref="A2:G2"/>
    <mergeCell ref="A71:G71"/>
    <mergeCell ref="A33:G33"/>
  </mergeCells>
  <pageMargins left="0.75" right="0.75" top="1" bottom="1" header="0.5" footer="0.5"/>
  <pageSetup orientation="portrait" fitToWidth="1"/>
  <headerFooter>
    <oddHeader>&amp;C&amp;11 Highway 38 Solutions</oddHeader>
    <oddFooter/>
    <evenHeader>&amp;C&amp;11 Highway 38 Solutions</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D116"/>
  <sheetViews>
    <sheetView workbookViewId="0">
      <selection activeCell="A1" sqref="A1"/>
    </sheetView>
  </sheetViews>
  <sheetFormatPr baseColWidth="8" defaultRowHeight="15"/>
  <cols>
    <col width="42" customWidth="1" min="1" max="1"/>
    <col width="18" customWidth="1" min="2" max="2"/>
    <col width="62" customWidth="1" min="3" max="3"/>
    <col width="14" customWidth="1" min="4" max="4"/>
    <col width="14" customWidth="1" min="5" max="5"/>
    <col width="14" customWidth="1" min="6" max="6"/>
    <col width="14" customWidth="1" min="7" max="7"/>
  </cols>
  <sheetData>
    <row r="1" ht="24" customHeight="1">
      <c r="A1" s="56" t="inlineStr">
        <is>
          <t>SERVICE &amp; MOTORS - NEC 220 service load &amp; NEC 430 motor circuits</t>
        </is>
      </c>
    </row>
    <row r="2" ht="28" customHeight="1">
      <c r="A2" s="2" t="inlineStr">
        <is>
          <t>The two code calculations: how big a service a house needs (NEC 220 standard method) and how to wire a motor (NEC 430 - breaker, conductor, overloads).</t>
        </is>
      </c>
    </row>
    <row r="4" ht="20" customHeight="1">
      <c r="A4" s="35" t="inlineStr">
        <is>
          <t>1 - DWELLING SERVICE LOAD - standard method (NEC 220)</t>
        </is>
      </c>
    </row>
    <row r="5">
      <c r="A5" s="9" t="inlineStr">
        <is>
          <t>Floor area of the dwelling (sq ft)</t>
        </is>
      </c>
      <c r="B5" s="36" t="n">
        <v>1800</v>
      </c>
    </row>
    <row r="6">
      <c r="A6" s="9" t="inlineStr">
        <is>
          <t>Small-appliance branch circuits (count)</t>
        </is>
      </c>
      <c r="B6" s="36" t="n">
        <v>2</v>
      </c>
      <c r="C6" s="69" t="inlineStr">
        <is>
          <t>At least two are required - NEC 210.11(C)(1).</t>
        </is>
      </c>
    </row>
    <row r="7">
      <c r="A7" s="9" t="inlineStr">
        <is>
          <t>Laundry branch circuits (count)</t>
        </is>
      </c>
      <c r="B7" s="36" t="n">
        <v>1</v>
      </c>
    </row>
    <row r="8">
      <c r="A8" s="9" t="inlineStr">
        <is>
          <t>General lighting load - 3 VA per sq ft (Table 220.12)</t>
        </is>
      </c>
      <c r="B8" s="39">
        <f>B5*3</f>
        <v/>
      </c>
    </row>
    <row r="9">
      <c r="A9" s="9" t="inlineStr">
        <is>
          <t>Small-appliance load - 1,500 VA each (220.52(A))</t>
        </is>
      </c>
      <c r="B9" s="39">
        <f>B6*1500</f>
        <v/>
      </c>
    </row>
    <row r="10">
      <c r="A10" s="9" t="inlineStr">
        <is>
          <t>Laundry load - 1,500 VA each (220.52(B))</t>
        </is>
      </c>
      <c r="B10" s="39">
        <f>B7*1500</f>
        <v/>
      </c>
    </row>
    <row r="11">
      <c r="A11" s="9" t="inlineStr">
        <is>
          <t>Subtotal before demand</t>
        </is>
      </c>
      <c r="B11" s="39">
        <f>SUM(B8:B10)</f>
        <v/>
      </c>
    </row>
    <row r="12">
      <c r="A12" s="9" t="inlineStr">
        <is>
          <t>After Table 220.42 demand</t>
        </is>
      </c>
      <c r="B12" s="39">
        <f>3000+MAX(0,MIN(B11-3000,117000))*0.35+MAX(0,B11-120000)*0.25</f>
        <v/>
      </c>
      <c r="C12" s="69" t="inlineStr">
        <is>
          <t>First 3,000 VA at 100%, the next block at 35%, anything over 120,000 VA at 25%.</t>
        </is>
      </c>
    </row>
    <row r="13">
      <c r="A13" s="14" t="inlineStr">
        <is>
          <t>Fixed appliances at nameplate (dishwasher, disposal, and the like)</t>
        </is>
      </c>
    </row>
    <row r="14">
      <c r="A14" s="9" t="inlineStr">
        <is>
          <t>Dishwasher (VA)</t>
        </is>
      </c>
      <c r="B14" s="36" t="n">
        <v>1200</v>
      </c>
    </row>
    <row r="15">
      <c r="A15" s="9" t="inlineStr">
        <is>
          <t>Garbage disposal (VA)</t>
        </is>
      </c>
      <c r="B15" s="36" t="n">
        <v>900</v>
      </c>
    </row>
    <row r="16">
      <c r="A16" s="9" t="inlineStr">
        <is>
          <t>Trash compactor (VA)</t>
        </is>
      </c>
      <c r="B16" s="36" t="n">
        <v>1000</v>
      </c>
    </row>
    <row r="17">
      <c r="A17" s="9" t="inlineStr">
        <is>
          <t>Other fixed appliance (VA)</t>
        </is>
      </c>
      <c r="B17" s="36" t="n">
        <v>500</v>
      </c>
    </row>
    <row r="18">
      <c r="A18" s="9" t="inlineStr">
        <is>
          <t>Fixed-appliance total (VA)</t>
        </is>
      </c>
      <c r="B18" s="39">
        <f>SUM(B14:B17)</f>
        <v/>
      </c>
    </row>
    <row r="19">
      <c r="A19" s="9" t="inlineStr">
        <is>
          <t>Appliances counted (lines with a load)</t>
        </is>
      </c>
      <c r="B19" s="39">
        <f>(B14&gt;0)+(B15&gt;0)+(B16&gt;0)+(B17&gt;0)</f>
        <v/>
      </c>
    </row>
    <row r="20">
      <c r="A20" s="9" t="inlineStr">
        <is>
          <t>Demand factor - 220.53 (75% when 4 or more)</t>
        </is>
      </c>
      <c r="B20" s="72">
        <f>IF(B19&gt;=4,0.75,1)</f>
        <v/>
      </c>
    </row>
    <row r="21">
      <c r="A21" s="9" t="inlineStr">
        <is>
          <t>Fixed appliances after demand (VA)</t>
        </is>
      </c>
      <c r="B21" s="39">
        <f>B18*B20</f>
        <v/>
      </c>
    </row>
    <row r="22">
      <c r="A22" s="9" t="inlineStr">
        <is>
          <t>Electric range (nameplate, kW)</t>
        </is>
      </c>
      <c r="B22" s="73" t="n">
        <v>12</v>
      </c>
    </row>
    <row r="23">
      <c r="A23" s="9" t="inlineStr">
        <is>
          <t>Range demand - Table 220.55</t>
        </is>
      </c>
      <c r="B23" s="39">
        <f>IF(B22=0,0,IF(B22&lt;=12,8000,8000+(B22-12)*400))</f>
        <v/>
      </c>
      <c r="C23" s="69" t="inlineStr">
        <is>
          <t>One range up to 12 kW counts as 8,000 VA; add 400 VA per kW over 12 (Note 1).</t>
        </is>
      </c>
    </row>
    <row r="24">
      <c r="A24" s="9" t="inlineStr">
        <is>
          <t>Clothes dryer (nameplate VA)</t>
        </is>
      </c>
      <c r="B24" s="36" t="n">
        <v>5000</v>
      </c>
    </row>
    <row r="25">
      <c r="A25" s="9" t="inlineStr">
        <is>
          <t>Dryer demand (5,000 VA minimum - 220.54)</t>
        </is>
      </c>
      <c r="B25" s="39">
        <f>IF(B24=0,0,MAX(B24,5000))</f>
        <v/>
      </c>
    </row>
    <row r="26">
      <c r="A26" s="9" t="inlineStr">
        <is>
          <t>Storage water heater (nameplate VA)</t>
        </is>
      </c>
      <c r="B26" s="36" t="n">
        <v>4500</v>
      </c>
    </row>
    <row r="27">
      <c r="A27" s="9" t="inlineStr">
        <is>
          <t>Air conditioning (VA)</t>
        </is>
      </c>
      <c r="B27" s="36" t="n">
        <v>4800</v>
      </c>
    </row>
    <row r="28">
      <c r="A28" s="9" t="inlineStr">
        <is>
          <t>Electric space heat (VA)</t>
        </is>
      </c>
      <c r="B28" s="36" t="n">
        <v>0</v>
      </c>
    </row>
    <row r="29">
      <c r="A29" s="9" t="inlineStr">
        <is>
          <t>Heating / cooling counted - larger of the two at 100%</t>
        </is>
      </c>
      <c r="B29" s="39">
        <f>MAX(B27,B28)</f>
        <v/>
      </c>
      <c r="C29" s="69" t="inlineStr">
        <is>
          <t>Heat and A/C never run together, so only the larger counts.</t>
        </is>
      </c>
    </row>
    <row r="30">
      <c r="A30" s="14" t="inlineStr">
        <is>
          <t>TOTAL CALCULATED LOAD (VA)</t>
        </is>
      </c>
      <c r="B30" s="46">
        <f>B12+B21+B23+B25+B26+B29</f>
        <v/>
      </c>
    </row>
    <row r="31">
      <c r="A31" s="9" t="inlineStr">
        <is>
          <t>Service voltage (V)</t>
        </is>
      </c>
      <c r="B31" s="36" t="n">
        <v>240</v>
      </c>
    </row>
    <row r="32">
      <c r="A32" s="9" t="inlineStr">
        <is>
          <t>Calculated load (amps)</t>
        </is>
      </c>
      <c r="B32" s="75">
        <f>IF(B31&gt;0,B30/B31,0)</f>
        <v/>
      </c>
    </row>
    <row r="33">
      <c r="A33" s="14" t="inlineStr">
        <is>
          <t>RECOMMENDED SERVICE SIZE</t>
        </is>
      </c>
      <c r="B33" s="47">
        <f>IF(B32&lt;=100,"100 A",IF(B32&lt;=125,"125 A",IF(B32&lt;=150,"150 A",IF(B32&lt;=175,"175 A",IF(B32&lt;=200,"200 A",IF(B32&lt;=225,"225 A",IF(B32&lt;=250,"250 A",IF(B32&lt;=300,"300 A",IF(B32&lt;=350,"350 A",IF(B32&lt;=400,"400 A","Over 400 A - engineered calculation"))))))))))</f>
        <v/>
      </c>
      <c r="C33" s="69" t="inlineStr">
        <is>
          <t>Standard sizes per NEC 240.6(A); a one-family dwelling service is at least 100 A (230.79(C)).</t>
        </is>
      </c>
    </row>
    <row r="34">
      <c r="A34" s="69" t="inlineStr">
        <is>
          <t>How the standard method runs (NEC 220.40-220.55): lighting at 3 VA per sq ft, Table 220.42 demand on the lighting-plus-small-appliance block, four or more fixed appliances at 75% per 220.53 - ranges, dryers, water heaters and HVAC are figured on their own lines and are NOT part of the 75% group. The optional method (220.82) often lands smaller; your inspector and the utility have the final word either way.</t>
        </is>
      </c>
    </row>
    <row r="36" ht="20" customHeight="1">
      <c r="A36" s="35" t="inlineStr">
        <is>
          <t>2 - MOTOR CIRCUIT SIZING - NEC 430</t>
        </is>
      </c>
    </row>
    <row r="37">
      <c r="A37" s="9" t="inlineStr">
        <is>
          <t>Motor horsepower (hp)</t>
        </is>
      </c>
      <c r="B37" s="73" t="n">
        <v>10</v>
      </c>
      <c r="C37" s="69" t="inlineStr">
        <is>
          <t>Use an hp from the tables at the bottom of this sheet.</t>
        </is>
      </c>
    </row>
    <row r="38">
      <c r="A38" s="9" t="inlineStr">
        <is>
          <t>Motor supply</t>
        </is>
      </c>
      <c r="B38" s="37" t="inlineStr">
        <is>
          <t>460V three-phase</t>
        </is>
      </c>
    </row>
    <row r="39">
      <c r="A39" s="9" t="inlineStr">
        <is>
          <t>Full-load current - FLC (A)</t>
        </is>
      </c>
      <c r="B39" s="76">
        <f>IFERROR(IF(B38="230V single-phase",VLOOKUP(B37,$A$53:$B$61,2,FALSE),IF(B38="230V three-phase",VLOOKUP(B37,$A$65:$C$78,2,FALSE),VLOOKUP(B37,$A$65:$C$78,3,FALSE))),"—")</f>
        <v/>
      </c>
      <c r="C39" s="69" t="inlineStr">
        <is>
          <t>From Table 430.248 / 430.250 below - sizing uses the table value, never the nameplate (430.6(A)(1)).</t>
        </is>
      </c>
    </row>
    <row r="40">
      <c r="A40" s="9" t="inlineStr">
        <is>
          <t>Breaker / fuse type</t>
        </is>
      </c>
      <c r="B40" s="37" t="inlineStr">
        <is>
          <t>Inverse-time breaker</t>
        </is>
      </c>
    </row>
    <row r="41">
      <c r="A41" s="9" t="inlineStr">
        <is>
          <t>Table 430.52 percentage for that device</t>
        </is>
      </c>
      <c r="B41" s="77">
        <f>IFERROR(VLOOKUP(B40,$A$82:$B$85,2,FALSE),"—")</f>
        <v/>
      </c>
      <c r="C41" s="69" t="inlineStr">
        <is>
          <t>Squirrel-cage motors. Wound-rotor and other types differ - see Table 430.52.</t>
        </is>
      </c>
    </row>
    <row r="42">
      <c r="A42" s="9" t="inlineStr">
        <is>
          <t>Maximum breaker / fuse size (A)</t>
        </is>
      </c>
      <c r="B42" s="76">
        <f>IF(ISNUMBER(B39),B39*B41,"—")</f>
        <v/>
      </c>
    </row>
    <row r="43">
      <c r="A43" s="14" t="inlineStr">
        <is>
          <t>RECOMMENDED BREAKER / FUSE</t>
        </is>
      </c>
      <c r="B43" s="46">
        <f>IF(NOT(ISNUMBER(B42)),"—",IF(B42&gt;600,"Over 600 A",INDEX($A$89:$A$114,SUMPRODUCT(--($A$89:$A$114&lt;B42))+1)))</f>
        <v/>
      </c>
      <c r="C43" s="69" t="inlineStr">
        <is>
          <t>Next standard size up is allowed when the computed size is not standard - 430.52(C)(1).</t>
        </is>
      </c>
    </row>
    <row r="44">
      <c r="A44" s="9" t="inlineStr">
        <is>
          <t>Conductor minimum ampacity - 125% of FLC (430.22)</t>
        </is>
      </c>
      <c r="B44" s="76">
        <f>IF(ISNUMBER(B39),B39*1.25,"—")</f>
        <v/>
      </c>
    </row>
    <row r="45">
      <c r="A45" s="14" t="inlineStr">
        <is>
          <t>SMALLEST COPPER CONDUCTOR - 75 deg C (Table 310.16)</t>
        </is>
      </c>
      <c r="B45" s="47">
        <f>IF(NOT(ISNUMBER(B44)),"—",IF(B44&gt;475,"Larger than 750 kcmil",INDEX($C$89:$C$108,SUMPRODUCT(--($D$89:$D$108&lt;B44))+1)))</f>
        <v/>
      </c>
    </row>
    <row r="46">
      <c r="A46" s="9" t="inlineStr">
        <is>
          <t>Nameplate full-load amps - FLA (A)</t>
        </is>
      </c>
      <c r="B46" s="73" t="n">
        <v>13.5</v>
      </c>
      <c r="C46" s="69" t="inlineStr">
        <is>
          <t>Off the motor nameplate. Overload protection works from this number, not the table (430.32).</t>
        </is>
      </c>
    </row>
    <row r="47">
      <c r="A47" s="9" t="inlineStr">
        <is>
          <t>Overload setting - service factor 1.15+ or 40 deg C rise (125%)</t>
        </is>
      </c>
      <c r="B47" s="75">
        <f>B46*1.25</f>
        <v/>
      </c>
    </row>
    <row r="48">
      <c r="A48" s="9" t="inlineStr">
        <is>
          <t>Overload setting - all other motors (115%)</t>
        </is>
      </c>
      <c r="B48" s="75">
        <f>B46*1.15</f>
        <v/>
      </c>
    </row>
    <row r="49">
      <c r="A49" s="69" t="inlineStr">
        <is>
          <t>The breaker in this calculation is short-circuit and ground-fault protection only - at 250% it will not protect the motor from overload. The motor still needs its own overload protection sized from the nameplate (430.32), and a controller and disconnect per Article 430. Multiple motors on one circuit follow 430.53 / 430.62, not this single-motor math.</t>
        </is>
      </c>
    </row>
    <row r="51">
      <c r="A51" s="14" t="inlineStr">
        <is>
          <t>Reference - Table 430.248 full-load current, single-phase (230 V column)</t>
        </is>
      </c>
    </row>
    <row r="52">
      <c r="A52" s="14" t="inlineStr">
        <is>
          <t>Horsepower</t>
        </is>
      </c>
      <c r="B52" s="14" t="inlineStr">
        <is>
          <t>FLC (A)</t>
        </is>
      </c>
    </row>
    <row r="53">
      <c r="A53" s="75" t="n">
        <v>0.5</v>
      </c>
      <c r="B53" s="75" t="n">
        <v>4.9</v>
      </c>
    </row>
    <row r="54">
      <c r="A54" s="75" t="n">
        <v>0.75</v>
      </c>
      <c r="B54" s="75" t="n">
        <v>6.9</v>
      </c>
    </row>
    <row r="55">
      <c r="A55" s="75" t="n">
        <v>1</v>
      </c>
      <c r="B55" s="75" t="n">
        <v>8</v>
      </c>
    </row>
    <row r="56">
      <c r="A56" s="75" t="n">
        <v>1.5</v>
      </c>
      <c r="B56" s="75" t="n">
        <v>10</v>
      </c>
    </row>
    <row r="57">
      <c r="A57" s="75" t="n">
        <v>2</v>
      </c>
      <c r="B57" s="75" t="n">
        <v>12</v>
      </c>
    </row>
    <row r="58">
      <c r="A58" s="75" t="n">
        <v>3</v>
      </c>
      <c r="B58" s="75" t="n">
        <v>17</v>
      </c>
    </row>
    <row r="59">
      <c r="A59" s="75" t="n">
        <v>5</v>
      </c>
      <c r="B59" s="75" t="n">
        <v>28</v>
      </c>
    </row>
    <row r="60">
      <c r="A60" s="75" t="n">
        <v>7.5</v>
      </c>
      <c r="B60" s="75" t="n">
        <v>40</v>
      </c>
    </row>
    <row r="61">
      <c r="A61" s="75" t="n">
        <v>10</v>
      </c>
      <c r="B61" s="75" t="n">
        <v>50</v>
      </c>
    </row>
    <row r="63">
      <c r="A63" s="14" t="inlineStr">
        <is>
          <t>Reference - Table 430.250 full-load current, three-phase</t>
        </is>
      </c>
    </row>
    <row r="64">
      <c r="A64" s="14" t="inlineStr">
        <is>
          <t>Horsepower</t>
        </is>
      </c>
      <c r="B64" s="14" t="inlineStr">
        <is>
          <t>230 V (A)</t>
        </is>
      </c>
      <c r="C64" s="14" t="inlineStr">
        <is>
          <t>460 V (A)</t>
        </is>
      </c>
    </row>
    <row r="65">
      <c r="A65" s="75" t="n">
        <v>2</v>
      </c>
      <c r="B65" s="75" t="n">
        <v>6.8</v>
      </c>
      <c r="C65" s="75" t="n">
        <v>3.4</v>
      </c>
    </row>
    <row r="66">
      <c r="A66" s="75" t="n">
        <v>3</v>
      </c>
      <c r="B66" s="75" t="n">
        <v>9.6</v>
      </c>
      <c r="C66" s="75" t="n">
        <v>4.8</v>
      </c>
    </row>
    <row r="67">
      <c r="A67" s="75" t="n">
        <v>5</v>
      </c>
      <c r="B67" s="75" t="n">
        <v>15.2</v>
      </c>
      <c r="C67" s="75" t="n">
        <v>7.6</v>
      </c>
    </row>
    <row r="68">
      <c r="A68" s="75" t="n">
        <v>7.5</v>
      </c>
      <c r="B68" s="75" t="n">
        <v>22</v>
      </c>
      <c r="C68" s="75" t="n">
        <v>11</v>
      </c>
    </row>
    <row r="69">
      <c r="A69" s="75" t="n">
        <v>10</v>
      </c>
      <c r="B69" s="75" t="n">
        <v>28</v>
      </c>
      <c r="C69" s="75" t="n">
        <v>14</v>
      </c>
    </row>
    <row r="70">
      <c r="A70" s="75" t="n">
        <v>15</v>
      </c>
      <c r="B70" s="75" t="n">
        <v>42</v>
      </c>
      <c r="C70" s="75" t="n">
        <v>21</v>
      </c>
    </row>
    <row r="71">
      <c r="A71" s="75" t="n">
        <v>20</v>
      </c>
      <c r="B71" s="75" t="n">
        <v>54</v>
      </c>
      <c r="C71" s="75" t="n">
        <v>27</v>
      </c>
    </row>
    <row r="72">
      <c r="A72" s="75" t="n">
        <v>25</v>
      </c>
      <c r="B72" s="75" t="n">
        <v>68</v>
      </c>
      <c r="C72" s="75" t="n">
        <v>34</v>
      </c>
    </row>
    <row r="73">
      <c r="A73" s="75" t="n">
        <v>30</v>
      </c>
      <c r="B73" s="75" t="n">
        <v>80</v>
      </c>
      <c r="C73" s="75" t="n">
        <v>40</v>
      </c>
    </row>
    <row r="74">
      <c r="A74" s="75" t="n">
        <v>40</v>
      </c>
      <c r="B74" s="75" t="n">
        <v>104</v>
      </c>
      <c r="C74" s="75" t="n">
        <v>52</v>
      </c>
    </row>
    <row r="75">
      <c r="A75" s="75" t="n">
        <v>50</v>
      </c>
      <c r="B75" s="75" t="n">
        <v>130</v>
      </c>
      <c r="C75" s="75" t="n">
        <v>65</v>
      </c>
    </row>
    <row r="76">
      <c r="A76" s="75" t="n">
        <v>60</v>
      </c>
      <c r="B76" s="75" t="n">
        <v>154</v>
      </c>
      <c r="C76" s="75" t="n">
        <v>77</v>
      </c>
    </row>
    <row r="77">
      <c r="A77" s="75" t="n">
        <v>75</v>
      </c>
      <c r="B77" s="75" t="n">
        <v>192</v>
      </c>
      <c r="C77" s="75" t="n">
        <v>96</v>
      </c>
    </row>
    <row r="78">
      <c r="A78" s="75" t="n">
        <v>100</v>
      </c>
      <c r="B78" s="75" t="n">
        <v>248</v>
      </c>
      <c r="C78" s="75" t="n">
        <v>124</v>
      </c>
    </row>
    <row r="80">
      <c r="A80" s="14" t="inlineStr">
        <is>
          <t>Reference - Table 430.52 percentages (squirrel-cage motors)</t>
        </is>
      </c>
    </row>
    <row r="81">
      <c r="A81" s="14" t="inlineStr">
        <is>
          <t>Device</t>
        </is>
      </c>
      <c r="B81" s="14" t="inlineStr">
        <is>
          <t>Percent of FLC</t>
        </is>
      </c>
    </row>
    <row r="82">
      <c r="A82" s="44" t="inlineStr">
        <is>
          <t>Inverse-time breaker</t>
        </is>
      </c>
      <c r="B82" s="72" t="n">
        <v>2.5</v>
      </c>
    </row>
    <row r="83">
      <c r="A83" s="44" t="inlineStr">
        <is>
          <t>Dual-element (time-delay) fuse</t>
        </is>
      </c>
      <c r="B83" s="72" t="n">
        <v>1.75</v>
      </c>
    </row>
    <row r="84">
      <c r="A84" s="44" t="inlineStr">
        <is>
          <t>Non-time-delay fuse</t>
        </is>
      </c>
      <c r="B84" s="72" t="n">
        <v>3</v>
      </c>
    </row>
    <row r="85">
      <c r="A85" s="44" t="inlineStr">
        <is>
          <t>Instantaneous-trip breaker</t>
        </is>
      </c>
      <c r="B85" s="72" t="n">
        <v>8</v>
      </c>
    </row>
    <row r="87">
      <c r="A87" s="14" t="inlineStr">
        <is>
          <t>Reference - standard breaker / fuse sizes (NEC 240.6(A)) and copper ampacity at 75 deg C (Table 310.16)</t>
        </is>
      </c>
    </row>
    <row r="88">
      <c r="A88" s="14" t="inlineStr">
        <is>
          <t>Standard size (A)</t>
        </is>
      </c>
      <c r="B88" s="14" t="inlineStr"/>
      <c r="C88" s="14" t="inlineStr">
        <is>
          <t>Conductor (copper)</t>
        </is>
      </c>
      <c r="D88" s="14" t="inlineStr">
        <is>
          <t>Ampacity (A)</t>
        </is>
      </c>
    </row>
    <row r="89">
      <c r="A89" s="39" t="n">
        <v>15</v>
      </c>
      <c r="B89" s="44" t="n"/>
      <c r="C89" s="44" t="inlineStr">
        <is>
          <t>14 AWG</t>
        </is>
      </c>
      <c r="D89" s="39" t="n">
        <v>20</v>
      </c>
    </row>
    <row r="90">
      <c r="A90" s="39" t="n">
        <v>20</v>
      </c>
      <c r="B90" s="44" t="n"/>
      <c r="C90" s="44" t="inlineStr">
        <is>
          <t>12 AWG</t>
        </is>
      </c>
      <c r="D90" s="39" t="n">
        <v>25</v>
      </c>
    </row>
    <row r="91">
      <c r="A91" s="39" t="n">
        <v>25</v>
      </c>
      <c r="B91" s="44" t="n"/>
      <c r="C91" s="44" t="inlineStr">
        <is>
          <t>10 AWG</t>
        </is>
      </c>
      <c r="D91" s="39" t="n">
        <v>35</v>
      </c>
    </row>
    <row r="92">
      <c r="A92" s="39" t="n">
        <v>30</v>
      </c>
      <c r="B92" s="44" t="n"/>
      <c r="C92" s="44" t="inlineStr">
        <is>
          <t>8 AWG</t>
        </is>
      </c>
      <c r="D92" s="39" t="n">
        <v>50</v>
      </c>
    </row>
    <row r="93">
      <c r="A93" s="39" t="n">
        <v>35</v>
      </c>
      <c r="B93" s="44" t="n"/>
      <c r="C93" s="44" t="inlineStr">
        <is>
          <t>6 AWG</t>
        </is>
      </c>
      <c r="D93" s="39" t="n">
        <v>65</v>
      </c>
    </row>
    <row r="94">
      <c r="A94" s="39" t="n">
        <v>40</v>
      </c>
      <c r="B94" s="44" t="n"/>
      <c r="C94" s="44" t="inlineStr">
        <is>
          <t>4 AWG</t>
        </is>
      </c>
      <c r="D94" s="39" t="n">
        <v>85</v>
      </c>
    </row>
    <row r="95">
      <c r="A95" s="39" t="n">
        <v>45</v>
      </c>
      <c r="B95" s="44" t="n"/>
      <c r="C95" s="44" t="inlineStr">
        <is>
          <t>3 AWG</t>
        </is>
      </c>
      <c r="D95" s="39" t="n">
        <v>100</v>
      </c>
    </row>
    <row r="96">
      <c r="A96" s="39" t="n">
        <v>50</v>
      </c>
      <c r="B96" s="44" t="n"/>
      <c r="C96" s="44" t="inlineStr">
        <is>
          <t>2 AWG</t>
        </is>
      </c>
      <c r="D96" s="39" t="n">
        <v>115</v>
      </c>
    </row>
    <row r="97">
      <c r="A97" s="39" t="n">
        <v>60</v>
      </c>
      <c r="B97" s="44" t="n"/>
      <c r="C97" s="44" t="inlineStr">
        <is>
          <t>1 AWG</t>
        </is>
      </c>
      <c r="D97" s="39" t="n">
        <v>130</v>
      </c>
    </row>
    <row r="98">
      <c r="A98" s="39" t="n">
        <v>70</v>
      </c>
      <c r="B98" s="44" t="n"/>
      <c r="C98" s="44" t="inlineStr">
        <is>
          <t>1/0 AWG</t>
        </is>
      </c>
      <c r="D98" s="39" t="n">
        <v>150</v>
      </c>
    </row>
    <row r="99">
      <c r="A99" s="39" t="n">
        <v>80</v>
      </c>
      <c r="B99" s="44" t="n"/>
      <c r="C99" s="44" t="inlineStr">
        <is>
          <t>2/0 AWG</t>
        </is>
      </c>
      <c r="D99" s="39" t="n">
        <v>175</v>
      </c>
    </row>
    <row r="100">
      <c r="A100" s="39" t="n">
        <v>90</v>
      </c>
      <c r="B100" s="44" t="n"/>
      <c r="C100" s="44" t="inlineStr">
        <is>
          <t>3/0 AWG</t>
        </is>
      </c>
      <c r="D100" s="39" t="n">
        <v>200</v>
      </c>
    </row>
    <row r="101">
      <c r="A101" s="39" t="n">
        <v>100</v>
      </c>
      <c r="B101" s="44" t="n"/>
      <c r="C101" s="44" t="inlineStr">
        <is>
          <t>4/0 AWG</t>
        </is>
      </c>
      <c r="D101" s="39" t="n">
        <v>230</v>
      </c>
    </row>
    <row r="102">
      <c r="A102" s="39" t="n">
        <v>110</v>
      </c>
      <c r="B102" s="44" t="n"/>
      <c r="C102" s="44" t="inlineStr">
        <is>
          <t>250 kcmil</t>
        </is>
      </c>
      <c r="D102" s="39" t="n">
        <v>255</v>
      </c>
    </row>
    <row r="103">
      <c r="A103" s="39" t="n">
        <v>125</v>
      </c>
      <c r="B103" s="44" t="n"/>
      <c r="C103" s="44" t="inlineStr">
        <is>
          <t>300 kcmil</t>
        </is>
      </c>
      <c r="D103" s="39" t="n">
        <v>285</v>
      </c>
    </row>
    <row r="104">
      <c r="A104" s="39" t="n">
        <v>150</v>
      </c>
      <c r="B104" s="44" t="n"/>
      <c r="C104" s="44" t="inlineStr">
        <is>
          <t>350 kcmil</t>
        </is>
      </c>
      <c r="D104" s="39" t="n">
        <v>310</v>
      </c>
    </row>
    <row r="105">
      <c r="A105" s="39" t="n">
        <v>175</v>
      </c>
      <c r="B105" s="44" t="n"/>
      <c r="C105" s="44" t="inlineStr">
        <is>
          <t>400 kcmil</t>
        </is>
      </c>
      <c r="D105" s="39" t="n">
        <v>335</v>
      </c>
    </row>
    <row r="106">
      <c r="A106" s="39" t="n">
        <v>200</v>
      </c>
      <c r="B106" s="44" t="n"/>
      <c r="C106" s="44" t="inlineStr">
        <is>
          <t>500 kcmil</t>
        </is>
      </c>
      <c r="D106" s="39" t="n">
        <v>380</v>
      </c>
    </row>
    <row r="107">
      <c r="A107" s="39" t="n">
        <v>225</v>
      </c>
      <c r="B107" s="44" t="n"/>
      <c r="C107" s="44" t="inlineStr">
        <is>
          <t>600 kcmil</t>
        </is>
      </c>
      <c r="D107" s="39" t="n">
        <v>420</v>
      </c>
    </row>
    <row r="108">
      <c r="A108" s="39" t="n">
        <v>250</v>
      </c>
      <c r="B108" s="44" t="n"/>
      <c r="C108" s="44" t="inlineStr">
        <is>
          <t>750 kcmil</t>
        </is>
      </c>
      <c r="D108" s="39" t="n">
        <v>475</v>
      </c>
    </row>
    <row r="109">
      <c r="A109" s="39" t="n">
        <v>300</v>
      </c>
      <c r="B109" s="44" t="n"/>
      <c r="C109" s="44" t="n"/>
      <c r="D109" s="39" t="n"/>
    </row>
    <row r="110">
      <c r="A110" s="39" t="n">
        <v>350</v>
      </c>
      <c r="B110" s="44" t="n"/>
      <c r="C110" s="44" t="n"/>
      <c r="D110" s="39" t="n"/>
    </row>
    <row r="111">
      <c r="A111" s="39" t="n">
        <v>400</v>
      </c>
      <c r="B111" s="44" t="n"/>
      <c r="C111" s="44" t="n"/>
      <c r="D111" s="39" t="n"/>
    </row>
    <row r="112">
      <c r="A112" s="39" t="n">
        <v>450</v>
      </c>
      <c r="B112" s="44" t="n"/>
      <c r="C112" s="44" t="n"/>
      <c r="D112" s="39" t="n"/>
    </row>
    <row r="113">
      <c r="A113" s="39" t="n">
        <v>500</v>
      </c>
      <c r="B113" s="44" t="n"/>
      <c r="C113" s="44" t="n"/>
      <c r="D113" s="39" t="n"/>
    </row>
    <row r="114">
      <c r="A114" s="39" t="n">
        <v>600</v>
      </c>
      <c r="B114" s="44" t="n"/>
      <c r="C114" s="44" t="n"/>
      <c r="D114" s="39" t="n"/>
    </row>
    <row r="116">
      <c r="A116" s="69" t="inlineStr">
        <is>
          <t>Tables on this sheet: NEC Table 220.12 / 220.42 / 220.52 / 220.53 / 220.54 / 220.55 (service load), Table 430.248 and 430.250 (motor full-load current), Table 430.52 (motor branch-circuit device percentages), 240.6(A) standard ratings, and Table 310.16 copper ampacity at 75 deg C. Ampacity is before any adjustment for conductor count or ambient temperature (310.15).</t>
        </is>
      </c>
    </row>
  </sheetData>
  <mergeCells count="7">
    <mergeCell ref="A36:C36"/>
    <mergeCell ref="A49:C49"/>
    <mergeCell ref="A116:C116"/>
    <mergeCell ref="A1:C1"/>
    <mergeCell ref="A34:C34"/>
    <mergeCell ref="A4:C4"/>
    <mergeCell ref="A2:C2"/>
  </mergeCells>
  <dataValidations count="2">
    <dataValidation sqref="B38" showDropDown="0" showInputMessage="0" showErrorMessage="0" allowBlank="0" type="list">
      <formula1>"230V single-phase,230V three-phase,460V three-phase"</formula1>
    </dataValidation>
    <dataValidation sqref="B40" showDropDown="0" showInputMessage="0" showErrorMessage="0" allowBlank="0" type="list">
      <formula1>"Inverse-time breaker,Dual-element (time-delay) fuse,Non-time-delay fuse,Instantaneous-trip breaker"</formula1>
    </dataValidation>
  </dataValidations>
  <pageMargins left="0.75" right="0.75" top="1" bottom="1" header="0.5" footer="0.5"/>
  <pageSetup orientation="portrait" fitToWidth="1"/>
  <headerFooter>
    <oddHeader>&amp;C&amp;11 Highway 38 Solutions</oddHeader>
    <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F71"/>
  <sheetViews>
    <sheetView workbookViewId="0">
      <selection activeCell="A1" sqref="A1"/>
    </sheetView>
  </sheetViews>
  <sheetFormatPr baseColWidth="8" defaultRowHeight="15"/>
  <cols>
    <col width="42" customWidth="1" min="1" max="1"/>
    <col width="18" customWidth="1" min="2" max="2"/>
    <col width="18" customWidth="1" min="3" max="3"/>
    <col width="18" customWidth="1" min="4" max="4"/>
    <col width="16" customWidth="1" min="5" max="5"/>
    <col width="56" customWidth="1" min="6" max="6"/>
  </cols>
  <sheetData>
    <row r="1" ht="24" customHeight="1">
      <c r="A1" s="56" t="inlineStr">
        <is>
          <t>GENERATOR &amp; LIGHTING - Standby sizing estimator &amp; lumens-method layout</t>
        </is>
      </c>
    </row>
    <row r="2" ht="28" customHeight="1">
      <c r="A2" s="2" t="inlineStr">
        <is>
          <t>Two planning tools: a generator estimator built on running watts plus the biggest motor surge, and a lighting layout by the lumens method.</t>
        </is>
      </c>
    </row>
    <row r="4" ht="20" customHeight="1">
      <c r="A4" s="35" t="inlineStr">
        <is>
          <t>1 - GENERATOR SIZING - ESTIMATOR (running watts + worst motor surge)</t>
        </is>
      </c>
    </row>
    <row r="5">
      <c r="A5" s="14" t="inlineStr">
        <is>
          <t>Load</t>
        </is>
      </c>
      <c r="B5" s="14" t="inlineStr">
        <is>
          <t>Running watts</t>
        </is>
      </c>
      <c r="C5" s="14" t="inlineStr">
        <is>
          <t>Starting watts</t>
        </is>
      </c>
      <c r="D5" s="14" t="inlineStr">
        <is>
          <t>Extra surge (W)</t>
        </is>
      </c>
    </row>
    <row r="6">
      <c r="A6" s="44" t="inlineStr">
        <is>
          <t>Furnace blower / air handler</t>
        </is>
      </c>
      <c r="B6" s="36" t="n">
        <v>800</v>
      </c>
      <c r="C6" s="36" t="n">
        <v>1600</v>
      </c>
      <c r="D6" s="39">
        <f>MAX(0,C6-B6)</f>
        <v/>
      </c>
    </row>
    <row r="7">
      <c r="A7" s="44" t="inlineStr">
        <is>
          <t>Refrigerator</t>
        </is>
      </c>
      <c r="B7" s="36" t="n">
        <v>200</v>
      </c>
      <c r="C7" s="36" t="n">
        <v>1200</v>
      </c>
      <c r="D7" s="39">
        <f>MAX(0,C7-B7)</f>
        <v/>
      </c>
    </row>
    <row r="8">
      <c r="A8" s="44" t="inlineStr">
        <is>
          <t>Well pump</t>
        </is>
      </c>
      <c r="B8" s="36" t="n">
        <v>1500</v>
      </c>
      <c r="C8" s="36" t="n">
        <v>4500</v>
      </c>
      <c r="D8" s="39">
        <f>MAX(0,C8-B8)</f>
        <v/>
      </c>
    </row>
    <row r="9">
      <c r="A9" s="44" t="inlineStr">
        <is>
          <t>Sump pump</t>
        </is>
      </c>
      <c r="B9" s="36" t="n">
        <v>800</v>
      </c>
      <c r="C9" s="36" t="n">
        <v>1300</v>
      </c>
      <c r="D9" s="39">
        <f>MAX(0,C9-B9)</f>
        <v/>
      </c>
    </row>
    <row r="10">
      <c r="A10" s="44" t="inlineStr">
        <is>
          <t>Lights - LED, whole house</t>
        </is>
      </c>
      <c r="B10" s="36" t="n">
        <v>600</v>
      </c>
      <c r="C10" s="36" t="n">
        <v>600</v>
      </c>
      <c r="D10" s="39">
        <f>MAX(0,C10-B10)</f>
        <v/>
      </c>
    </row>
    <row r="11">
      <c r="A11" s="44" t="inlineStr">
        <is>
          <t>TV, internet &amp; electronics</t>
        </is>
      </c>
      <c r="B11" s="36" t="n">
        <v>400</v>
      </c>
      <c r="C11" s="36" t="n">
        <v>400</v>
      </c>
      <c r="D11" s="39">
        <f>MAX(0,C11-B11)</f>
        <v/>
      </c>
    </row>
    <row r="12">
      <c r="A12" s="44" t="inlineStr">
        <is>
          <t>Microwave</t>
        </is>
      </c>
      <c r="B12" s="36" t="n">
        <v>1500</v>
      </c>
      <c r="C12" s="36" t="n">
        <v>1500</v>
      </c>
      <c r="D12" s="39">
        <f>MAX(0,C12-B12)</f>
        <v/>
      </c>
    </row>
    <row r="13">
      <c r="A13" s="44" t="inlineStr">
        <is>
          <t>Electric water heater</t>
        </is>
      </c>
      <c r="B13" s="36" t="n">
        <v>4500</v>
      </c>
      <c r="C13" s="36" t="n">
        <v>4500</v>
      </c>
      <c r="D13" s="39">
        <f>MAX(0,C13-B13)</f>
        <v/>
      </c>
    </row>
    <row r="14">
      <c r="A14" s="14" t="inlineStr">
        <is>
          <t>Total running watts</t>
        </is>
      </c>
      <c r="B14" s="46">
        <f>SUM(B6:B13)</f>
        <v/>
      </c>
    </row>
    <row r="15">
      <c r="A15" s="9" t="inlineStr">
        <is>
          <t>Largest single surge (extra watts)</t>
        </is>
      </c>
      <c r="B15" s="39">
        <f>MAX(D6:D13)</f>
        <v/>
      </c>
    </row>
    <row r="16">
      <c r="A16" s="14" t="inlineStr">
        <is>
          <t>Watts the generator must carry</t>
        </is>
      </c>
      <c r="B16" s="46">
        <f>B14+B15</f>
        <v/>
      </c>
    </row>
    <row r="17">
      <c r="A17" s="9" t="inlineStr">
        <is>
          <t>Headroom for the next load you forgot</t>
        </is>
      </c>
      <c r="B17" s="70" t="n">
        <v>0.2</v>
      </c>
    </row>
    <row r="18">
      <c r="A18" s="9" t="inlineStr">
        <is>
          <t>Recommended generator capacity (W)</t>
        </is>
      </c>
      <c r="B18" s="39">
        <f>ROUNDUP(B16*(1+B17),0)</f>
        <v/>
      </c>
    </row>
    <row r="19">
      <c r="A19" s="14" t="inlineStr">
        <is>
          <t>SUGGESTED STANDBY SIZE (kW)</t>
        </is>
      </c>
      <c r="B19" s="78">
        <f>IF(B18/1000&gt;MAX($A$55:$A$69),"Over 60 kW",INDEX($A$55:$A$69,SUMPRODUCT(--($A$55:$A$69&lt;B18/1000))+1))</f>
        <v/>
      </c>
      <c r="C19" s="69" t="inlineStr">
        <is>
          <t>From the standard standby sizes in the table below. Portable units come in more sizes - match the watts, not the label.</t>
        </is>
      </c>
    </row>
    <row r="20">
      <c r="A20" s="69" t="inlineStr">
        <is>
          <t>ESTIMATOR - the sizing method in every manufacturer's guide: add up everything that runs at the same time, then add the single biggest motor's starting surge on top, because only one motor starts at a time. A motor with no published surge usually starts at 2-3x its running watts; a deep-well pump can pull 4-5x, and its nameplate LRA is the honest number when you can read it. Ratings differ on propane vs. natural gas, and altitude derates an engine about 3.5% per 1,000 ft - a generator that is big enough on paper in Denver is not the same machine.</t>
        </is>
      </c>
    </row>
    <row r="22" ht="20" customHeight="1">
      <c r="A22" s="35" t="inlineStr">
        <is>
          <t>2 - LIGHTING LAYOUT - lumens method</t>
        </is>
      </c>
    </row>
    <row r="23">
      <c r="A23" s="9" t="inlineStr">
        <is>
          <t>Room type</t>
        </is>
      </c>
      <c r="B23" s="37" t="inlineStr">
        <is>
          <t>Kitchen - general</t>
        </is>
      </c>
    </row>
    <row r="24">
      <c r="A24" s="9" t="inlineStr">
        <is>
          <t>Target light level (footcandles)</t>
        </is>
      </c>
      <c r="B24" s="79">
        <f>IFERROR(VLOOKUP(B23,$A$42:$B$51,2,FALSE),"—")</f>
        <v/>
      </c>
      <c r="C24" s="69" t="inlineStr">
        <is>
          <t>Common IES recommendations for homes - see the table below.</t>
        </is>
      </c>
    </row>
    <row r="25">
      <c r="A25" s="9" t="inlineStr">
        <is>
          <t>Room length (ft)</t>
        </is>
      </c>
      <c r="B25" s="73" t="n">
        <v>15</v>
      </c>
    </row>
    <row r="26">
      <c r="A26" s="9" t="inlineStr">
        <is>
          <t>Room width (ft)</t>
        </is>
      </c>
      <c r="B26" s="73" t="n">
        <v>12</v>
      </c>
    </row>
    <row r="27">
      <c r="A27" s="9" t="inlineStr">
        <is>
          <t>Room area (sq ft)</t>
        </is>
      </c>
      <c r="B27" s="39">
        <f>B25*B26</f>
        <v/>
      </c>
    </row>
    <row r="28">
      <c r="A28" s="9" t="inlineStr">
        <is>
          <t>Lumens per fixture (from the box)</t>
        </is>
      </c>
      <c r="B28" s="36" t="n">
        <v>1600</v>
      </c>
    </row>
    <row r="29">
      <c r="A29" s="9" t="inlineStr">
        <is>
          <t>Coefficient of utilization - CU</t>
        </is>
      </c>
      <c r="B29" s="45" t="n">
        <v>0.6</v>
      </c>
      <c r="C29" s="69" t="inlineStr">
        <is>
          <t>0.6 is a middle value for light walls and a normal ceiling height.</t>
        </is>
      </c>
    </row>
    <row r="30">
      <c r="A30" s="9" t="inlineStr">
        <is>
          <t>Light loss factor - LLF</t>
        </is>
      </c>
      <c r="B30" s="45" t="n">
        <v>0.8</v>
      </c>
      <c r="C30" s="69" t="inlineStr">
        <is>
          <t>0.8 allows for dirt and LED aging.</t>
        </is>
      </c>
    </row>
    <row r="31">
      <c r="A31" s="9" t="inlineStr">
        <is>
          <t>Lumens the room needs</t>
        </is>
      </c>
      <c r="B31" s="39">
        <f>B27*B24</f>
        <v/>
      </c>
    </row>
    <row r="32">
      <c r="A32" s="9" t="inlineStr">
        <is>
          <t>Working lumens per fixture</t>
        </is>
      </c>
      <c r="B32" s="39">
        <f>B28*B29*B30</f>
        <v/>
      </c>
    </row>
    <row r="33">
      <c r="A33" s="14" t="inlineStr">
        <is>
          <t>FIXTURES NEEDED</t>
        </is>
      </c>
      <c r="B33" s="46">
        <f>IF(B32&gt;0,ROUNDUP(B31/B32,0),0)</f>
        <v/>
      </c>
    </row>
    <row r="34">
      <c r="A34" s="9" t="inlineStr">
        <is>
          <t>Light level that actually gives (footcandles)</t>
        </is>
      </c>
      <c r="B34" s="75">
        <f>IF(B27&gt;0,B33*B32/B27,0)</f>
        <v/>
      </c>
    </row>
    <row r="35">
      <c r="A35" s="9" t="inlineStr">
        <is>
          <t>Fixture efficacy (lumens per watt)</t>
        </is>
      </c>
      <c r="B35" s="36" t="n">
        <v>100</v>
      </c>
      <c r="C35" s="69" t="inlineStr">
        <is>
          <t>Typical LED: 90-120. The box or spec sheet says.</t>
        </is>
      </c>
    </row>
    <row r="36">
      <c r="A36" s="9" t="inlineStr">
        <is>
          <t>Watts per fixture</t>
        </is>
      </c>
      <c r="B36" s="75">
        <f>IF(B35&gt;0,B28/B35,0)</f>
        <v/>
      </c>
    </row>
    <row r="37">
      <c r="A37" s="9" t="inlineStr">
        <is>
          <t>Total watts for the room</t>
        </is>
      </c>
      <c r="B37" s="39">
        <f>IF(B35&gt;0,B33*B28/B35,0)</f>
        <v/>
      </c>
    </row>
    <row r="38">
      <c r="A38" s="69" t="inlineStr">
        <is>
          <t>Lumens method: fixtures = (area x target footcandles) / (lumens per fixture x CU x LLF). It gives an average light level for the room - task spots (under-cabinet, vanity, bench) still want their own fixtures aimed at the work. Dark walls, tall ceilings and dirty fixtures all pull the real level below the paper number.</t>
        </is>
      </c>
    </row>
    <row r="40">
      <c r="A40" s="14" t="inlineStr">
        <is>
          <t>Reference - target light levels (footcandles), common IES residential recommendations</t>
        </is>
      </c>
    </row>
    <row r="41">
      <c r="A41" s="14" t="inlineStr">
        <is>
          <t>Room type</t>
        </is>
      </c>
      <c r="B41" s="14" t="inlineStr">
        <is>
          <t>Footcandles</t>
        </is>
      </c>
    </row>
    <row r="42">
      <c r="A42" s="44" t="inlineStr">
        <is>
          <t>Living room</t>
        </is>
      </c>
      <c r="B42" s="39" t="n">
        <v>15</v>
      </c>
    </row>
    <row r="43">
      <c r="A43" s="44" t="inlineStr">
        <is>
          <t>Bedroom</t>
        </is>
      </c>
      <c r="B43" s="39" t="n">
        <v>15</v>
      </c>
    </row>
    <row r="44">
      <c r="A44" s="44" t="inlineStr">
        <is>
          <t>Dining room</t>
        </is>
      </c>
      <c r="B44" s="39" t="n">
        <v>15</v>
      </c>
    </row>
    <row r="45">
      <c r="A45" s="44" t="inlineStr">
        <is>
          <t>Hallway / stairs</t>
        </is>
      </c>
      <c r="B45" s="39" t="n">
        <v>10</v>
      </c>
    </row>
    <row r="46">
      <c r="A46" s="44" t="inlineStr">
        <is>
          <t>Kitchen - general</t>
        </is>
      </c>
      <c r="B46" s="39" t="n">
        <v>40</v>
      </c>
    </row>
    <row r="47">
      <c r="A47" s="44" t="inlineStr">
        <is>
          <t>Kitchen - task counters</t>
        </is>
      </c>
      <c r="B47" s="39" t="n">
        <v>75</v>
      </c>
    </row>
    <row r="48">
      <c r="A48" s="44" t="inlineStr">
        <is>
          <t>Bathroom</t>
        </is>
      </c>
      <c r="B48" s="39" t="n">
        <v>60</v>
      </c>
    </row>
    <row r="49">
      <c r="A49" s="44" t="inlineStr">
        <is>
          <t>Home office</t>
        </is>
      </c>
      <c r="B49" s="39" t="n">
        <v>50</v>
      </c>
    </row>
    <row r="50">
      <c r="A50" s="44" t="inlineStr">
        <is>
          <t>Laundry room</t>
        </is>
      </c>
      <c r="B50" s="39" t="n">
        <v>50</v>
      </c>
    </row>
    <row r="51">
      <c r="A51" s="44" t="inlineStr">
        <is>
          <t>Workshop / garage</t>
        </is>
      </c>
      <c r="B51" s="39" t="n">
        <v>60</v>
      </c>
    </row>
    <row r="53">
      <c r="A53" s="14" t="inlineStr">
        <is>
          <t>Reference - standard standby generator sizes (kW)</t>
        </is>
      </c>
    </row>
    <row r="54">
      <c r="A54" s="14" t="inlineStr">
        <is>
          <t>Size (kW)</t>
        </is>
      </c>
    </row>
    <row r="55">
      <c r="A55" s="75" t="n">
        <v>5</v>
      </c>
    </row>
    <row r="56">
      <c r="A56" s="75" t="n">
        <v>7.5</v>
      </c>
    </row>
    <row r="57">
      <c r="A57" s="75" t="n">
        <v>10</v>
      </c>
    </row>
    <row r="58">
      <c r="A58" s="75" t="n">
        <v>12</v>
      </c>
    </row>
    <row r="59">
      <c r="A59" s="75" t="n">
        <v>14</v>
      </c>
    </row>
    <row r="60">
      <c r="A60" s="75" t="n">
        <v>16</v>
      </c>
    </row>
    <row r="61">
      <c r="A61" s="75" t="n">
        <v>18</v>
      </c>
    </row>
    <row r="62">
      <c r="A62" s="75" t="n">
        <v>20</v>
      </c>
    </row>
    <row r="63">
      <c r="A63" s="75" t="n">
        <v>22</v>
      </c>
    </row>
    <row r="64">
      <c r="A64" s="75" t="n">
        <v>24</v>
      </c>
    </row>
    <row r="65">
      <c r="A65" s="75" t="n">
        <v>26</v>
      </c>
    </row>
    <row r="66">
      <c r="A66" s="75" t="n">
        <v>30</v>
      </c>
    </row>
    <row r="67">
      <c r="A67" s="75" t="n">
        <v>38</v>
      </c>
    </row>
    <row r="68">
      <c r="A68" s="75" t="n">
        <v>48</v>
      </c>
    </row>
    <row r="69">
      <c r="A69" s="75" t="n">
        <v>60</v>
      </c>
    </row>
    <row r="71">
      <c r="A71" s="69" t="inlineStr">
        <is>
          <t>Sources: generator method per manufacturer sizing guides (Generac / Kohler / Cummins residential sizing publications). Footcandle targets per IES residential lighting recommendations. Fixture counts are planning numbers - final layouts still answer to the customer's eyes.</t>
        </is>
      </c>
    </row>
  </sheetData>
  <mergeCells count="7">
    <mergeCell ref="A38:F38"/>
    <mergeCell ref="A2:F2"/>
    <mergeCell ref="A71:F71"/>
    <mergeCell ref="A1:F1"/>
    <mergeCell ref="A22:F22"/>
    <mergeCell ref="A4:F4"/>
    <mergeCell ref="A20:F20"/>
  </mergeCells>
  <dataValidations count="1">
    <dataValidation sqref="B23" showDropDown="0" showInputMessage="0" showErrorMessage="0" allowBlank="0" type="list">
      <formula1>"Living room,Bedroom,Dining room,Hallway / stairs,Kitchen - general,Kitchen - task counters,Bathroom,Home office,Laundry room,Workshop / garage"</formula1>
    </dataValidation>
  </dataValidations>
  <pageMargins left="0.75" right="0.75" top="1" bottom="1" header="0.5" footer="0.5"/>
  <pageSetup orientation="portrait" fitToWidth="1"/>
  <headerFooter>
    <oddHeader>&amp;C&amp;11 Highway 38 Solutions</oddHeader>
    <oddFooter/>
    <evenHeader/>
    <evenFooter/>
    <firstHeader/>
    <firstFooter/>
  </headerFooter>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H46"/>
  <sheetViews>
    <sheetView workbookViewId="0">
      <selection activeCell="A1" sqref="A1"/>
    </sheetView>
  </sheetViews>
  <sheetFormatPr baseColWidth="8" defaultRowHeight="15"/>
  <cols>
    <col width="42" customWidth="1" min="1" max="1"/>
    <col width="18" customWidth="1" min="2" max="2"/>
    <col width="14" customWidth="1" min="3" max="3"/>
    <col width="14" customWidth="1" min="4" max="4"/>
    <col width="14" customWidth="1" min="5" max="5"/>
    <col width="14" customWidth="1" min="6" max="6"/>
    <col width="14" customWidth="1" min="7" max="7"/>
    <col width="14" customWidth="1" min="8" max="8"/>
  </cols>
  <sheetData>
    <row r="1" ht="24" customHeight="1">
      <c r="A1" s="56" t="inlineStr">
        <is>
          <t>CONDUIT FILL PLUS - EMT, IMC, RMC, PVC &amp; flex (NEC Chapter 9)</t>
        </is>
      </c>
    </row>
    <row r="2" ht="28" customHeight="1">
      <c r="A2" s="2" t="inlineStr">
        <is>
          <t>The conduit-fill calculator for every raceway in the yard - not just EMT. Same Chapter 9 rules as the Electrical sheet; the full area table for all seven types is below.</t>
        </is>
      </c>
    </row>
    <row r="4" ht="20" customHeight="1">
      <c r="A4" s="35" t="inlineStr">
        <is>
          <t>CONDUIT FILL - THHN / THWN-2 copper in any raceway type</t>
        </is>
      </c>
    </row>
    <row r="5">
      <c r="A5" s="9" t="inlineStr">
        <is>
          <t>Conduit type</t>
        </is>
      </c>
      <c r="B5" s="37" t="inlineStr">
        <is>
          <t>PVC Schedule 80</t>
        </is>
      </c>
    </row>
    <row r="6">
      <c r="A6" s="9" t="inlineStr">
        <is>
          <t>Trade size</t>
        </is>
      </c>
      <c r="B6" s="37" t="inlineStr">
        <is>
          <t>3/4″</t>
        </is>
      </c>
    </row>
    <row r="7">
      <c r="A7" s="9" t="inlineStr">
        <is>
          <t>Wire size (THHN)</t>
        </is>
      </c>
      <c r="B7" s="37" t="inlineStr">
        <is>
          <t>12 AWG</t>
        </is>
      </c>
    </row>
    <row r="8">
      <c r="A8" s="9" t="inlineStr">
        <is>
          <t>Number of wires (the ground counts)</t>
        </is>
      </c>
      <c r="B8" s="36" t="n">
        <v>4</v>
      </c>
    </row>
    <row r="9">
      <c r="A9" s="9" t="inlineStr">
        <is>
          <t>Wire count used (minimum 1, rounded)</t>
        </is>
      </c>
      <c r="B9" s="39">
        <f>MAX(1,ROUND(B8,0))</f>
        <v/>
      </c>
    </row>
    <row r="10">
      <c r="A10" s="9" t="inlineStr">
        <is>
          <t>Conduit inside area (sq in)</t>
        </is>
      </c>
      <c r="B10" s="80">
        <f>IFERROR(INDEX($B$20:$H$28,MATCH(B6,$A$20:$A$28,0),MATCH(B5,$B$19:$H$19,0)),"—")</f>
        <v/>
      </c>
    </row>
    <row r="11">
      <c r="A11" s="9" t="inlineStr">
        <is>
          <t>Wire area each (sq in)</t>
        </is>
      </c>
      <c r="B11" s="80">
        <f>IFERROR(VLOOKUP(B7,$A$32:$B$44,2,FALSE),"—")</f>
        <v/>
      </c>
    </row>
    <row r="12">
      <c r="A12" s="14" t="inlineStr">
        <is>
          <t>CONDUIT FILL</t>
        </is>
      </c>
      <c r="B12" s="41">
        <f>IF(ISNUMBER(B10),B11*B9/B10,"—")</f>
        <v/>
      </c>
    </row>
    <row r="13">
      <c r="A13" s="9" t="inlineStr">
        <is>
          <t>NEC limit for this wire count</t>
        </is>
      </c>
      <c r="B13" s="72">
        <f>IF(B9=1,0.53,IF(B9=2,0.31,0.4))</f>
        <v/>
      </c>
      <c r="C13" s="69" t="inlineStr">
        <is>
          <t>1 wire 53% - 2 wires 31% - 3 or more 40% (Chapter 9, Table 1).</t>
        </is>
      </c>
    </row>
    <row r="14">
      <c r="A14" s="9" t="inlineStr">
        <is>
          <t>Max wires of this size at the limit</t>
        </is>
      </c>
      <c r="B14" s="39">
        <f>IF(AND(ISNUMBER(B10),B11&gt;0),FLOOR(B10*B13/B11,1),"—")</f>
        <v/>
      </c>
    </row>
    <row r="15">
      <c r="A15" s="14">
        <f>IF(NOT(ISNUMBER(B10)),"That type and size is not in the table below - check NEC Chapter 9, Table 4.",IF(B12&lt;=B13,"Inside the NEC fill limit - a legal pull.","Over the limit for this wire count - upsize the conduit or split the run."))</f>
        <v/>
      </c>
    </row>
    <row r="16">
      <c r="A16" s="69" t="inlineStr">
        <is>
          <t>IMC areas in the table below run 1/2 in to 2 in. FMC is flexible metal conduit; LFMC is liquidtight flexible metal conduit. Legal and pullable are still different things - long runs with bends get miserable well before 40%.</t>
        </is>
      </c>
    </row>
    <row r="18">
      <c r="A18" s="14" t="inlineStr">
        <is>
          <t>Reference - conduit inside areas (sq in), NEC Chapter 9, Table 4</t>
        </is>
      </c>
    </row>
    <row r="19">
      <c r="A19" s="14" t="inlineStr">
        <is>
          <t>Trade size</t>
        </is>
      </c>
      <c r="B19" s="14" t="inlineStr">
        <is>
          <t>EMT</t>
        </is>
      </c>
      <c r="C19" s="14" t="inlineStr">
        <is>
          <t>IMC</t>
        </is>
      </c>
      <c r="D19" s="14" t="inlineStr">
        <is>
          <t>RMC</t>
        </is>
      </c>
      <c r="E19" s="14" t="inlineStr">
        <is>
          <t>PVC Schedule 40</t>
        </is>
      </c>
      <c r="F19" s="14" t="inlineStr">
        <is>
          <t>PVC Schedule 80</t>
        </is>
      </c>
      <c r="G19" s="14" t="inlineStr">
        <is>
          <t>FMC</t>
        </is>
      </c>
      <c r="H19" s="14" t="inlineStr">
        <is>
          <t>LFMC</t>
        </is>
      </c>
    </row>
    <row r="20">
      <c r="A20" s="44" t="inlineStr">
        <is>
          <t>1/2″</t>
        </is>
      </c>
      <c r="B20" s="49" t="n">
        <v>0.304</v>
      </c>
      <c r="C20" s="49" t="n">
        <v>0.342</v>
      </c>
      <c r="D20" s="49" t="n">
        <v>0.314</v>
      </c>
      <c r="E20" s="49" t="n">
        <v>0.285</v>
      </c>
      <c r="F20" s="49" t="n">
        <v>0.217</v>
      </c>
      <c r="G20" s="49" t="n">
        <v>0.317</v>
      </c>
      <c r="H20" s="49" t="n">
        <v>0.314</v>
      </c>
    </row>
    <row r="21">
      <c r="A21" s="44" t="inlineStr">
        <is>
          <t>3/4″</t>
        </is>
      </c>
      <c r="B21" s="49" t="n">
        <v>0.533</v>
      </c>
      <c r="C21" s="49" t="n">
        <v>0.586</v>
      </c>
      <c r="D21" s="49" t="n">
        <v>0.549</v>
      </c>
      <c r="E21" s="49" t="n">
        <v>0.508</v>
      </c>
      <c r="F21" s="49" t="n">
        <v>0.409</v>
      </c>
      <c r="G21" s="49" t="n">
        <v>0.533</v>
      </c>
      <c r="H21" s="49" t="n">
        <v>0.541</v>
      </c>
    </row>
    <row r="22">
      <c r="A22" s="44" t="inlineStr">
        <is>
          <t>1″</t>
        </is>
      </c>
      <c r="B22" s="49" t="n">
        <v>0.864</v>
      </c>
      <c r="C22" s="49" t="n">
        <v>0.959</v>
      </c>
      <c r="D22" s="49" t="n">
        <v>0.887</v>
      </c>
      <c r="E22" s="49" t="n">
        <v>0.832</v>
      </c>
      <c r="F22" s="49" t="n">
        <v>0.6879999999999999</v>
      </c>
      <c r="G22" s="49" t="n">
        <v>0.8169999999999999</v>
      </c>
      <c r="H22" s="49" t="n">
        <v>0.873</v>
      </c>
    </row>
    <row r="23">
      <c r="A23" s="44" t="inlineStr">
        <is>
          <t>1-1/4″</t>
        </is>
      </c>
      <c r="B23" s="49" t="n">
        <v>1.496</v>
      </c>
      <c r="C23" s="49" t="n">
        <v>1.61</v>
      </c>
      <c r="D23" s="49" t="n">
        <v>1.526</v>
      </c>
      <c r="E23" s="49" t="n">
        <v>1.453</v>
      </c>
      <c r="F23" s="49" t="n">
        <v>1.237</v>
      </c>
      <c r="G23" s="49" t="n">
        <v>1.277</v>
      </c>
      <c r="H23" s="49" t="n">
        <v>1.528</v>
      </c>
    </row>
    <row r="24">
      <c r="A24" s="44" t="inlineStr">
        <is>
          <t>1-1/2″</t>
        </is>
      </c>
      <c r="B24" s="49" t="n">
        <v>2.036</v>
      </c>
      <c r="C24" s="49" t="n">
        <v>2.225</v>
      </c>
      <c r="D24" s="49" t="n">
        <v>2.071</v>
      </c>
      <c r="E24" s="49" t="n">
        <v>1.986</v>
      </c>
      <c r="F24" s="49" t="n">
        <v>1.711</v>
      </c>
      <c r="G24" s="49" t="n">
        <v>1.858</v>
      </c>
      <c r="H24" s="49" t="n">
        <v>1.981</v>
      </c>
    </row>
    <row r="25">
      <c r="A25" s="44" t="inlineStr">
        <is>
          <t>2″</t>
        </is>
      </c>
      <c r="B25" s="49" t="n">
        <v>3.356</v>
      </c>
      <c r="C25" s="49" t="n">
        <v>3.63</v>
      </c>
      <c r="D25" s="49" t="n">
        <v>3.408</v>
      </c>
      <c r="E25" s="49" t="n">
        <v>3.291</v>
      </c>
      <c r="F25" s="49" t="n">
        <v>2.874</v>
      </c>
      <c r="G25" s="49" t="n">
        <v>3.269</v>
      </c>
      <c r="H25" s="49" t="n">
        <v>3.246</v>
      </c>
    </row>
    <row r="26">
      <c r="A26" s="44" t="inlineStr">
        <is>
          <t>2-1/2″</t>
        </is>
      </c>
      <c r="B26" s="49" t="n">
        <v>5.858</v>
      </c>
      <c r="C26" s="49" t="inlineStr">
        <is>
          <t>—</t>
        </is>
      </c>
      <c r="D26" s="49" t="n">
        <v>4.866</v>
      </c>
      <c r="E26" s="49" t="n">
        <v>4.695</v>
      </c>
      <c r="F26" s="49" t="n">
        <v>4.119</v>
      </c>
      <c r="G26" s="49" t="n">
        <v>4.909</v>
      </c>
      <c r="H26" s="49" t="n">
        <v>4.881</v>
      </c>
    </row>
    <row r="27">
      <c r="A27" s="44" t="inlineStr">
        <is>
          <t>3″</t>
        </is>
      </c>
      <c r="B27" s="49" t="n">
        <v>8.846</v>
      </c>
      <c r="C27" s="49" t="inlineStr">
        <is>
          <t>—</t>
        </is>
      </c>
      <c r="D27" s="49" t="n">
        <v>7.499</v>
      </c>
      <c r="E27" s="49" t="n">
        <v>7.268</v>
      </c>
      <c r="F27" s="49" t="n">
        <v>6.647</v>
      </c>
      <c r="G27" s="49" t="n">
        <v>7.069</v>
      </c>
      <c r="H27" s="49" t="n">
        <v>7.475</v>
      </c>
    </row>
    <row r="28">
      <c r="A28" s="44" t="inlineStr">
        <is>
          <t>4″</t>
        </is>
      </c>
      <c r="B28" s="49" t="n">
        <v>14.753</v>
      </c>
      <c r="C28" s="49" t="inlineStr">
        <is>
          <t>—</t>
        </is>
      </c>
      <c r="D28" s="49" t="n">
        <v>13.135</v>
      </c>
      <c r="E28" s="49" t="n">
        <v>12.554</v>
      </c>
      <c r="F28" s="49" t="n">
        <v>11.258</v>
      </c>
      <c r="G28" s="49" t="n">
        <v>12.566</v>
      </c>
      <c r="H28" s="49" t="n">
        <v>12.692</v>
      </c>
    </row>
    <row r="30">
      <c r="A30" s="14" t="inlineStr">
        <is>
          <t>Reference - THHN / THWN-2 wire areas (sq in), NEC Chapter 9, Table 5</t>
        </is>
      </c>
    </row>
    <row r="31">
      <c r="A31" s="14" t="inlineStr">
        <is>
          <t>Wire size</t>
        </is>
      </c>
      <c r="B31" s="14" t="inlineStr">
        <is>
          <t>Area (sq in)</t>
        </is>
      </c>
    </row>
    <row r="32">
      <c r="A32" s="44" t="inlineStr">
        <is>
          <t>14 AWG</t>
        </is>
      </c>
      <c r="B32" s="49" t="n">
        <v>0.0097</v>
      </c>
    </row>
    <row r="33">
      <c r="A33" s="44" t="inlineStr">
        <is>
          <t>12 AWG</t>
        </is>
      </c>
      <c r="B33" s="49" t="n">
        <v>0.0133</v>
      </c>
    </row>
    <row r="34">
      <c r="A34" s="44" t="inlineStr">
        <is>
          <t>10 AWG</t>
        </is>
      </c>
      <c r="B34" s="49" t="n">
        <v>0.0211</v>
      </c>
    </row>
    <row r="35">
      <c r="A35" s="44" t="inlineStr">
        <is>
          <t>8 AWG</t>
        </is>
      </c>
      <c r="B35" s="49" t="n">
        <v>0.0366</v>
      </c>
    </row>
    <row r="36">
      <c r="A36" s="44" t="inlineStr">
        <is>
          <t>6 AWG</t>
        </is>
      </c>
      <c r="B36" s="49" t="n">
        <v>0.0507</v>
      </c>
    </row>
    <row r="37">
      <c r="A37" s="44" t="inlineStr">
        <is>
          <t>4 AWG</t>
        </is>
      </c>
      <c r="B37" s="49" t="n">
        <v>0.0824</v>
      </c>
    </row>
    <row r="38">
      <c r="A38" s="44" t="inlineStr">
        <is>
          <t>3 AWG</t>
        </is>
      </c>
      <c r="B38" s="49" t="n">
        <v>0.0973</v>
      </c>
    </row>
    <row r="39">
      <c r="A39" s="44" t="inlineStr">
        <is>
          <t>2 AWG</t>
        </is>
      </c>
      <c r="B39" s="49" t="n">
        <v>0.1158</v>
      </c>
    </row>
    <row r="40">
      <c r="A40" s="44" t="inlineStr">
        <is>
          <t>1 AWG</t>
        </is>
      </c>
      <c r="B40" s="49" t="n">
        <v>0.1562</v>
      </c>
    </row>
    <row r="41">
      <c r="A41" s="44" t="inlineStr">
        <is>
          <t>1/0 AWG</t>
        </is>
      </c>
      <c r="B41" s="49" t="n">
        <v>0.1855</v>
      </c>
    </row>
    <row r="42">
      <c r="A42" s="44" t="inlineStr">
        <is>
          <t>2/0 AWG</t>
        </is>
      </c>
      <c r="B42" s="49" t="n">
        <v>0.2223</v>
      </c>
    </row>
    <row r="43">
      <c r="A43" s="44" t="inlineStr">
        <is>
          <t>3/0 AWG</t>
        </is>
      </c>
      <c r="B43" s="49" t="n">
        <v>0.2679</v>
      </c>
    </row>
    <row r="44">
      <c r="A44" s="44" t="inlineStr">
        <is>
          <t>4/0 AWG</t>
        </is>
      </c>
      <c r="B44" s="49" t="n">
        <v>0.3237</v>
      </c>
    </row>
    <row r="46">
      <c r="A46" s="69" t="inlineStr">
        <is>
          <t>Areas: NEC Chapter 9, Table 4 (total internal area). Wire areas: Chapter 9, Table 5. Fill limits: Chapter 9, Table 1. Nipples 24 in and shorter may go to 60% (Chapter 9, Note 4) - this calculator uses the running-length limits.</t>
        </is>
      </c>
    </row>
  </sheetData>
  <mergeCells count="6">
    <mergeCell ref="A4:H4"/>
    <mergeCell ref="A15:H15"/>
    <mergeCell ref="A16:H16"/>
    <mergeCell ref="A2:H2"/>
    <mergeCell ref="A1:H1"/>
    <mergeCell ref="A46:H46"/>
  </mergeCells>
  <dataValidations count="3">
    <dataValidation sqref="B5" showDropDown="0" showInputMessage="0" showErrorMessage="0" allowBlank="0" type="list">
      <formula1>"EMT,IMC,RMC,PVC Schedule 40,PVC Schedule 80,FMC,LFMC"</formula1>
    </dataValidation>
    <dataValidation sqref="B6" showDropDown="0" showInputMessage="0" showErrorMessage="0" allowBlank="0" type="list">
      <formula1>"1/2″,3/4″,1″,1-1/4″,1-1/2″,2″,2-1/2″,3″,4″"</formula1>
    </dataValidation>
    <dataValidation sqref="B7" showDropDown="0" showInputMessage="0" showErrorMessage="0" allowBlank="0" type="list">
      <formula1>"14 AWG,12 AWG,10 AWG,8 AWG,6 AWG,4 AWG,3 AWG,2 AWG,1 AWG,1/0 AWG,2/0 AWG,3/0 AWG,4/0 AWG"</formula1>
    </dataValidation>
  </dataValidations>
  <pageMargins left="0.75" right="0.75" top="1" bottom="1" header="0.5" footer="0.5"/>
  <pageSetup orientation="portrait" fitToWidth="1"/>
  <headerFooter>
    <oddHeader>&amp;C&amp;11 Highway 38 Solutions</oddHeader>
    <oddFooter/>
    <evenHeader/>
    <evenFooter/>
    <firstHeader/>
    <firstFooter/>
  </headerFooter>
  <drawing xmlns:r="http://schemas.openxmlformats.org/officeDocument/2006/relationships" r:id="rId1"/>
</worksheet>
</file>

<file path=xl/worksheets/sheet10.xml><?xml version="1.0" encoding="utf-8"?>
<worksheet xmlns="http://schemas.openxmlformats.org/spreadsheetml/2006/main">
  <sheetPr>
    <outlinePr summaryBelow="1" summaryRight="1"/>
    <pageSetUpPr fitToPage="1"/>
  </sheetPr>
  <dimension ref="A1:H65"/>
  <sheetViews>
    <sheetView workbookViewId="0">
      <selection activeCell="A1" sqref="A1"/>
    </sheetView>
  </sheetViews>
  <sheetFormatPr baseColWidth="8" defaultRowHeight="15"/>
  <cols>
    <col width="42" customWidth="1" min="1" max="1"/>
    <col width="18" customWidth="1" min="2" max="2"/>
    <col width="62" customWidth="1" min="3" max="3"/>
    <col width="16" customWidth="1" min="4" max="4"/>
    <col width="10" customWidth="1" min="5" max="5"/>
    <col width="10" customWidth="1" min="6" max="6"/>
    <col width="10" customWidth="1" min="7" max="7"/>
    <col width="10" customWidth="1" min="8" max="8"/>
  </cols>
  <sheetData>
    <row r="1" ht="24" customHeight="1">
      <c r="A1" s="6" t="inlineStr">
        <is>
          <t>PLUMBING - Drain slope, water-heater sizing, pipe volume &amp; flow</t>
        </is>
      </c>
    </row>
    <row r="2">
      <c r="A2" s="7" t="inlineStr">
        <is>
          <t>The trade tools: the drop a drain line needs, the water heater a household actually needs, and how much water a pipe run holds and moves. The shared business kit is on the Standard sheet, same as the app shows it on every tab.</t>
        </is>
      </c>
    </row>
    <row r="4" ht="20" customHeight="1">
      <c r="A4" s="8" t="inlineStr">
        <is>
          <t>DRAIN SLOPE - drop over a run</t>
        </is>
      </c>
    </row>
    <row r="5">
      <c r="A5" s="9" t="inlineStr">
        <is>
          <t>Pitch</t>
        </is>
      </c>
      <c r="B5" s="23" t="inlineStr">
        <is>
          <t>1/4 in per ft - standard</t>
        </is>
      </c>
      <c r="C5" s="24" t="inlineStr">
        <is>
          <t>Pick from the dropdown - values from the table below</t>
        </is>
      </c>
    </row>
    <row r="6">
      <c r="A6" s="9" t="inlineStr">
        <is>
          <t>Run length (ft)</t>
        </is>
      </c>
      <c r="B6" s="18" t="n">
        <v>40</v>
      </c>
    </row>
    <row r="7">
      <c r="A7" s="9" t="inlineStr">
        <is>
          <t>Pitch used (in per ft)</t>
        </is>
      </c>
      <c r="B7" s="21">
        <f>VLOOKUP(B5,$A$14:$B$16,2,FALSE)</f>
        <v/>
      </c>
    </row>
    <row r="8">
      <c r="A8" s="14" t="inlineStr">
        <is>
          <t>TOTAL DROP (in)</t>
        </is>
      </c>
      <c r="B8" s="25">
        <f>B7*B6</f>
        <v/>
      </c>
    </row>
    <row r="9">
      <c r="A9" s="9" t="inlineStr">
        <is>
          <t>Drop in feet</t>
        </is>
      </c>
      <c r="B9" s="21">
        <f>B8/12</f>
        <v/>
      </c>
    </row>
    <row r="10">
      <c r="A10" s="9" t="inlineStr">
        <is>
          <t>Grade</t>
        </is>
      </c>
      <c r="B10" s="16">
        <f>B7/12</f>
        <v/>
      </c>
    </row>
    <row r="12" ht="28" customHeight="1">
      <c r="A12" s="17" t="inlineStr">
        <is>
          <t>Code minimums (IPC/UPC): 1/4 in per foot for pipe 2-1/2 in and smaller, 1/8 in per foot for 3 in and up. Check the drop before you glue - a long run at minimum pitch can eat the whole ceiling bay.</t>
        </is>
      </c>
    </row>
    <row r="13">
      <c r="A13" s="14" t="inlineStr">
        <is>
          <t>Reference - pitch values (in per ft)</t>
        </is>
      </c>
    </row>
    <row r="14">
      <c r="A14" s="30" t="inlineStr">
        <is>
          <t>1/4 in per ft - standard</t>
        </is>
      </c>
      <c r="B14" s="21" t="n">
        <v>0.25</v>
      </c>
    </row>
    <row r="15">
      <c r="A15" s="30" t="inlineStr">
        <is>
          <t>1/8 in per ft - 3 in pipe &amp; larger</t>
        </is>
      </c>
      <c r="B15" s="21" t="n">
        <v>0.125</v>
      </c>
    </row>
    <row r="16">
      <c r="A16" s="30" t="inlineStr">
        <is>
          <t>1/2 in per ft - steep</t>
        </is>
      </c>
      <c r="B16" s="21" t="n">
        <v>0.5</v>
      </c>
    </row>
    <row r="18" ht="20" customHeight="1">
      <c r="A18" s="8" t="inlineStr">
        <is>
          <t>WATER-HEATER SIZING - by household and use</t>
        </is>
      </c>
    </row>
    <row r="19">
      <c r="A19" s="9" t="inlineStr">
        <is>
          <t>People in the house</t>
        </is>
      </c>
      <c r="B19" s="23" t="inlineStr">
        <is>
          <t>4</t>
        </is>
      </c>
      <c r="C19" s="24" t="inlineStr">
        <is>
          <t>Pick from the dropdown</t>
        </is>
      </c>
    </row>
    <row r="20">
      <c r="A20" s="9" t="inlineStr">
        <is>
          <t>Hot-water use</t>
        </is>
      </c>
      <c r="B20" s="23" t="inlineStr">
        <is>
          <t>Average</t>
        </is>
      </c>
      <c r="C20" s="24" t="inlineStr">
        <is>
          <t>Light - showers spread out. Heavy - teens, soaking tub, back-to-back showers</t>
        </is>
      </c>
    </row>
    <row r="21">
      <c r="A21" s="9" t="inlineStr">
        <is>
          <t>Household key (table row)</t>
        </is>
      </c>
      <c r="B21" s="20">
        <f>VLOOKUP(B19,$A$35:$B$39,2,FALSE)</f>
        <v/>
      </c>
    </row>
    <row r="22">
      <c r="A22" s="9" t="inlineStr">
        <is>
          <t>Use column (1 Light, 2 Average, 3 Heavy)</t>
        </is>
      </c>
      <c r="B22" s="20">
        <f>IF(B20="Light",1,IF(B20="Average",2,3))</f>
        <v/>
      </c>
    </row>
    <row r="23">
      <c r="A23" s="14" t="inlineStr">
        <is>
          <t>TANK SIZE (gal)</t>
        </is>
      </c>
      <c r="B23" s="26">
        <f>INDEX($B$29:$D$33,MATCH(B21,$A$29:$A$33,0),B22)</f>
        <v/>
      </c>
    </row>
    <row r="24">
      <c r="A24" s="9" t="inlineStr">
        <is>
          <t>First-hour rating to look for (gal)</t>
        </is>
      </c>
      <c r="B24" s="20">
        <f>INDEX($F$29:$H$33,MATCH(B21,$E$29:$E$33,0),B22)</f>
        <v/>
      </c>
    </row>
    <row r="25">
      <c r="A25" s="9" t="inlineStr">
        <is>
          <t>Or tankless, at a 70-degree rise</t>
        </is>
      </c>
      <c r="B25" s="31">
        <f>IF(B24&lt;=55,"5-6 GPM",IF(B24&lt;=75,"6-8 GPM",IF(B24&lt;=95,"8-10 GPM","10+ GPM, or two units")))</f>
        <v/>
      </c>
    </row>
    <row r="27" ht="28" customHeight="1">
      <c r="A27" s="17" t="inlineStr">
        <is>
          <t>Size a tank by its first-hour rating - the number on the yellow EnergyGuide label - not just the gallons on the box. Tankless ratings fall as incoming water gets colder; the 70-degree rise column is the honest one for northern groundwater.</t>
        </is>
      </c>
    </row>
    <row r="28">
      <c r="A28" s="14" t="inlineStr">
        <is>
          <t>Reference - tank size (gal), people rows x use (Light / Average / Heavy)</t>
        </is>
      </c>
      <c r="E28" s="14" t="inlineStr">
        <is>
          <t>FHR -&gt;</t>
        </is>
      </c>
    </row>
    <row r="29">
      <c r="A29" s="9" t="n">
        <v>2</v>
      </c>
      <c r="B29" s="32" t="n">
        <v>30</v>
      </c>
      <c r="C29" s="32" t="n">
        <v>40</v>
      </c>
      <c r="D29" s="32" t="n">
        <v>50</v>
      </c>
      <c r="E29" s="9" t="n">
        <v>2</v>
      </c>
      <c r="F29" s="32" t="n">
        <v>45</v>
      </c>
      <c r="G29" s="32" t="n">
        <v>55</v>
      </c>
      <c r="H29" s="32" t="n">
        <v>70</v>
      </c>
    </row>
    <row r="30">
      <c r="A30" s="9" t="n">
        <v>3</v>
      </c>
      <c r="B30" s="32" t="n">
        <v>40</v>
      </c>
      <c r="C30" s="32" t="n">
        <v>50</v>
      </c>
      <c r="D30" s="32" t="n">
        <v>65</v>
      </c>
      <c r="E30" s="9" t="n">
        <v>3</v>
      </c>
      <c r="F30" s="32" t="n">
        <v>55</v>
      </c>
      <c r="G30" s="32" t="n">
        <v>65</v>
      </c>
      <c r="H30" s="32" t="n">
        <v>80</v>
      </c>
    </row>
    <row r="31">
      <c r="A31" s="9" t="n">
        <v>4</v>
      </c>
      <c r="B31" s="32" t="n">
        <v>50</v>
      </c>
      <c r="C31" s="32" t="n">
        <v>50</v>
      </c>
      <c r="D31" s="32" t="n">
        <v>65</v>
      </c>
      <c r="E31" s="9" t="n">
        <v>4</v>
      </c>
      <c r="F31" s="32" t="n">
        <v>65</v>
      </c>
      <c r="G31" s="32" t="n">
        <v>75</v>
      </c>
      <c r="H31" s="32" t="n">
        <v>85</v>
      </c>
    </row>
    <row r="32">
      <c r="A32" s="9" t="n">
        <v>5</v>
      </c>
      <c r="B32" s="32" t="n">
        <v>50</v>
      </c>
      <c r="C32" s="32" t="n">
        <v>65</v>
      </c>
      <c r="D32" s="32" t="n">
        <v>80</v>
      </c>
      <c r="E32" s="9" t="n">
        <v>5</v>
      </c>
      <c r="F32" s="32" t="n">
        <v>75</v>
      </c>
      <c r="G32" s="32" t="n">
        <v>85</v>
      </c>
      <c r="H32" s="32" t="n">
        <v>95</v>
      </c>
    </row>
    <row r="33">
      <c r="A33" s="9" t="n">
        <v>6</v>
      </c>
      <c r="B33" s="32" t="n">
        <v>65</v>
      </c>
      <c r="C33" s="32" t="n">
        <v>80</v>
      </c>
      <c r="D33" s="32" t="n">
        <v>80</v>
      </c>
      <c r="E33" s="9" t="n">
        <v>6</v>
      </c>
      <c r="F33" s="32" t="n">
        <v>85</v>
      </c>
      <c r="G33" s="32" t="n">
        <v>95</v>
      </c>
      <c r="H33" s="32" t="n">
        <v>110</v>
      </c>
    </row>
    <row r="34">
      <c r="A34" s="14" t="inlineStr">
        <is>
          <t>People label -&gt; household key:</t>
        </is>
      </c>
    </row>
    <row r="35">
      <c r="A35" s="30" t="inlineStr">
        <is>
          <t>1-2</t>
        </is>
      </c>
      <c r="B35" s="30" t="n">
        <v>2</v>
      </c>
    </row>
    <row r="36">
      <c r="A36" s="30" t="inlineStr">
        <is>
          <t>3</t>
        </is>
      </c>
      <c r="B36" s="30" t="n">
        <v>3</v>
      </c>
    </row>
    <row r="37">
      <c r="A37" s="30" t="inlineStr">
        <is>
          <t>4</t>
        </is>
      </c>
      <c r="B37" s="30" t="n">
        <v>4</v>
      </c>
    </row>
    <row r="38">
      <c r="A38" s="30" t="inlineStr">
        <is>
          <t>5</t>
        </is>
      </c>
      <c r="B38" s="30" t="n">
        <v>5</v>
      </c>
    </row>
    <row r="39">
      <c r="A39" s="30" t="inlineStr">
        <is>
          <t>6 or more</t>
        </is>
      </c>
      <c r="B39" s="30" t="n">
        <v>6</v>
      </c>
    </row>
    <row r="42" ht="20" customHeight="1">
      <c r="A42" s="35" t="inlineStr">
        <is>
          <t>PIPE VOLUME &amp; FLOW - what’s in the line, and how fast it moves</t>
        </is>
      </c>
    </row>
    <row r="43">
      <c r="A43" s="9" t="inlineStr">
        <is>
          <t>Pipe size (Schedule 40)</t>
        </is>
      </c>
      <c r="B43" s="37" t="inlineStr">
        <is>
          <t>1 in</t>
        </is>
      </c>
      <c r="C43" s="9" t="inlineStr">
        <is>
          <t>Pick from the dropdown - dimensions from the chart below</t>
        </is>
      </c>
    </row>
    <row r="44">
      <c r="A44" s="9" t="inlineStr">
        <is>
          <t>Pipe length (ft)</t>
        </is>
      </c>
      <c r="B44" s="36" t="n">
        <v>100</v>
      </c>
    </row>
    <row r="45">
      <c r="A45" s="9" t="inlineStr">
        <is>
          <t>Flow velocity (ft/s)</t>
        </is>
      </c>
      <c r="B45" s="45" t="n">
        <v>5</v>
      </c>
      <c r="C45" s="9" t="inlineStr">
        <is>
          <t>4-8 ft/s is the usual design range for water lines</t>
        </is>
      </c>
    </row>
    <row r="46">
      <c r="A46" s="9" t="inlineStr">
        <is>
          <t>Inside diameter (in)</t>
        </is>
      </c>
      <c r="B46" s="48">
        <f>VLOOKUP(B43,$A$56:$D$65,3,FALSE)</f>
        <v/>
      </c>
    </row>
    <row r="47">
      <c r="A47" s="9" t="inlineStr">
        <is>
          <t>Inside area (sq in)</t>
        </is>
      </c>
      <c r="B47" s="38">
        <f>PI()*B46^2/4</f>
        <v/>
      </c>
    </row>
    <row r="48">
      <c r="A48" s="14" t="inlineStr">
        <is>
          <t>VOLUME IN THE PIPE (gal)</t>
        </is>
      </c>
      <c r="B48" s="40">
        <f>B47*B44*12/231</f>
        <v/>
      </c>
    </row>
    <row r="49">
      <c r="A49" s="9" t="inlineStr">
        <is>
          <t>Volume (cubic ft)</t>
        </is>
      </c>
      <c r="B49" s="38">
        <f>B48/7.48052</f>
        <v/>
      </c>
    </row>
    <row r="50">
      <c r="A50" s="14" t="inlineStr">
        <is>
          <t>FLOW AT THAT VELOCITY (GPM)</t>
        </is>
      </c>
      <c r="B50" s="46">
        <f>B47*(B45*12)*60/231</f>
        <v/>
      </c>
    </row>
    <row r="51">
      <c r="A51" s="9" t="inlineStr">
        <is>
          <t>Minutes to move that volume at that flow</t>
        </is>
      </c>
      <c r="B51" s="38">
        <f>IF(B50&gt;0,B48/B50,0)</f>
        <v/>
      </c>
    </row>
    <row r="52" ht="28" customHeight="1">
      <c r="A52" s="43" t="inlineStr">
        <is>
          <t>Volume is the water standing in the run - what drains on the floor when you cut in, and what a fill or flush has to move. Flow is velocity times inside area; above about 8 ft/s lines get noisy and water hammer gets real.</t>
        </is>
      </c>
    </row>
    <row r="54">
      <c r="A54" s="14" t="inlineStr">
        <is>
          <t>Reference - Schedule 40 pipe sizes</t>
        </is>
      </c>
    </row>
    <row r="55">
      <c r="A55" s="47" t="inlineStr">
        <is>
          <t>Nominal size</t>
        </is>
      </c>
      <c r="B55" s="47" t="inlineStr">
        <is>
          <t>Outside dia (in)</t>
        </is>
      </c>
      <c r="C55" s="47" t="inlineStr">
        <is>
          <t>Inside dia (in)</t>
        </is>
      </c>
      <c r="D55" s="47" t="inlineStr">
        <is>
          <t>Gallons per foot</t>
        </is>
      </c>
    </row>
    <row r="56">
      <c r="A56" s="44" t="inlineStr">
        <is>
          <t>1/2 in</t>
        </is>
      </c>
      <c r="B56" s="48" t="n">
        <v>0.84</v>
      </c>
      <c r="C56" s="48" t="n">
        <v>0.622</v>
      </c>
      <c r="D56" s="49">
        <f>PI()*C56^2/4*12/231</f>
        <v/>
      </c>
    </row>
    <row r="57">
      <c r="A57" s="44" t="inlineStr">
        <is>
          <t>3/4 in</t>
        </is>
      </c>
      <c r="B57" s="48" t="n">
        <v>1.05</v>
      </c>
      <c r="C57" s="48" t="n">
        <v>0.824</v>
      </c>
      <c r="D57" s="49">
        <f>PI()*C57^2/4*12/231</f>
        <v/>
      </c>
    </row>
    <row r="58">
      <c r="A58" s="44" t="inlineStr">
        <is>
          <t>1 in</t>
        </is>
      </c>
      <c r="B58" s="48" t="n">
        <v>1.315</v>
      </c>
      <c r="C58" s="48" t="n">
        <v>1.049</v>
      </c>
      <c r="D58" s="49">
        <f>PI()*C58^2/4*12/231</f>
        <v/>
      </c>
    </row>
    <row r="59">
      <c r="A59" s="44" t="inlineStr">
        <is>
          <t>1-1/4 in</t>
        </is>
      </c>
      <c r="B59" s="48" t="n">
        <v>1.66</v>
      </c>
      <c r="C59" s="48" t="n">
        <v>1.38</v>
      </c>
      <c r="D59" s="49">
        <f>PI()*C59^2/4*12/231</f>
        <v/>
      </c>
    </row>
    <row r="60">
      <c r="A60" s="44" t="inlineStr">
        <is>
          <t>1-1/2 in</t>
        </is>
      </c>
      <c r="B60" s="48" t="n">
        <v>1.9</v>
      </c>
      <c r="C60" s="48" t="n">
        <v>1.61</v>
      </c>
      <c r="D60" s="49">
        <f>PI()*C60^2/4*12/231</f>
        <v/>
      </c>
    </row>
    <row r="61">
      <c r="A61" s="44" t="inlineStr">
        <is>
          <t>2 in</t>
        </is>
      </c>
      <c r="B61" s="48" t="n">
        <v>2.375</v>
      </c>
      <c r="C61" s="48" t="n">
        <v>2.067</v>
      </c>
      <c r="D61" s="49">
        <f>PI()*C61^2/4*12/231</f>
        <v/>
      </c>
    </row>
    <row r="62">
      <c r="A62" s="44" t="inlineStr">
        <is>
          <t>2-1/2 in</t>
        </is>
      </c>
      <c r="B62" s="48" t="n">
        <v>2.875</v>
      </c>
      <c r="C62" s="48" t="n">
        <v>2.469</v>
      </c>
      <c r="D62" s="49">
        <f>PI()*C62^2/4*12/231</f>
        <v/>
      </c>
    </row>
    <row r="63">
      <c r="A63" s="44" t="inlineStr">
        <is>
          <t>3 in</t>
        </is>
      </c>
      <c r="B63" s="48" t="n">
        <v>3.5</v>
      </c>
      <c r="C63" s="48" t="n">
        <v>3.068</v>
      </c>
      <c r="D63" s="49">
        <f>PI()*C63^2/4*12/231</f>
        <v/>
      </c>
    </row>
    <row r="64">
      <c r="A64" s="44" t="inlineStr">
        <is>
          <t>4 in</t>
        </is>
      </c>
      <c r="B64" s="48" t="n">
        <v>4.5</v>
      </c>
      <c r="C64" s="48" t="n">
        <v>4.026</v>
      </c>
      <c r="D64" s="49">
        <f>PI()*C64^2/4*12/231</f>
        <v/>
      </c>
    </row>
    <row r="65">
      <c r="A65" s="44" t="inlineStr">
        <is>
          <t>6 in</t>
        </is>
      </c>
      <c r="B65" s="48" t="n">
        <v>6.625</v>
      </c>
      <c r="C65" s="48" t="n">
        <v>6.065</v>
      </c>
      <c r="D65" s="49">
        <f>PI()*C65^2/4*12/231</f>
        <v/>
      </c>
    </row>
  </sheetData>
  <mergeCells count="9">
    <mergeCell ref="A42:C42"/>
    <mergeCell ref="A1:C1"/>
    <mergeCell ref="A54:D54"/>
    <mergeCell ref="A18:C18"/>
    <mergeCell ref="A27:C27"/>
    <mergeCell ref="A12:C12"/>
    <mergeCell ref="A4:C4"/>
    <mergeCell ref="A2:C2"/>
    <mergeCell ref="A52:C52"/>
  </mergeCells>
  <dataValidations count="4">
    <dataValidation sqref="B5" showDropDown="0" showInputMessage="0" showErrorMessage="0" allowBlank="0" type="list">
      <formula1>"1/4 in per ft - standard,1/8 in per ft - 3 in pipe &amp; larger,1/2 in per ft - steep"</formula1>
    </dataValidation>
    <dataValidation sqref="B19" showDropDown="0" showInputMessage="0" showErrorMessage="0" allowBlank="0" type="list">
      <formula1>"1-2,3,4,5,6 or more"</formula1>
    </dataValidation>
    <dataValidation sqref="B20" showDropDown="0" showInputMessage="0" showErrorMessage="0" allowBlank="0" type="list">
      <formula1>"Light,Average,Heavy"</formula1>
    </dataValidation>
    <dataValidation sqref="B43" showDropDown="0" showInputMessage="0" showErrorMessage="0" allowBlank="0" error="Pick from the list" prompt="Pick from the dropdown" type="list">
      <formula1>"1/2 in,3/4 in,1 in,1-1/4 in,1-1/2 in,2 in,2-1/2 in,3 in,4 in,6 in"</formula1>
    </dataValidation>
  </dataValidations>
  <printOptions horizontalCentered="1"/>
  <pageMargins left="0.75" right="0.75" top="1" bottom="1" header="0.5" footer="0.5"/>
  <pageSetup orientation="portrait" fitToWidth="1"/>
  <headerFooter>
    <oddHeader>&amp;C&amp;11 Highway 38 Solutions</oddHeader>
    <oddFooter/>
    <evenHeader>&amp;C&amp;11 Highway 38 Solutions</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J77"/>
  <sheetViews>
    <sheetView workbookViewId="0">
      <selection activeCell="A1" sqref="A1"/>
    </sheetView>
  </sheetViews>
  <sheetFormatPr baseColWidth="8" defaultRowHeight="15"/>
  <cols>
    <col width="15" customWidth="1" min="1" max="1"/>
    <col width="11.5" customWidth="1" min="2" max="2"/>
    <col width="11.5" customWidth="1" min="3" max="3"/>
    <col width="11.5" customWidth="1" min="4" max="4"/>
    <col width="11.5" customWidth="1" min="5" max="5"/>
    <col width="11.5" customWidth="1" min="6" max="6"/>
    <col width="11.5" customWidth="1" min="7" max="7"/>
    <col width="12" customWidth="1" min="8" max="8"/>
    <col width="12.5" customWidth="1" min="9" max="9"/>
    <col width="12.5" customWidth="1" min="10" max="10"/>
  </cols>
  <sheetData>
    <row r="1" ht="24" customHeight="1">
      <c r="A1" s="56" t="inlineStr">
        <is>
          <t>PLUMBING REFERENCE - Pipe sizes, drain slope &amp; fixture units</t>
        </is>
      </c>
    </row>
    <row r="2" ht="28" customHeight="1">
      <c r="A2" s="57" t="inlineStr">
        <is>
          <t>Real inside diameters and what flows through them, the slope a drain actually needs, and the fixture-unit numbers drains are sized by. The calculators are on the Plumbing sheet.</t>
        </is>
      </c>
    </row>
    <row r="4" ht="20" customHeight="1">
      <c r="A4" s="35" t="inlineStr">
        <is>
          <t>PIPE SIZES - inside diameters, and what a Schedule 40 line holds and moves</t>
        </is>
      </c>
    </row>
    <row r="5">
      <c r="A5" s="14" t="inlineStr">
        <is>
          <t>Nominal size</t>
        </is>
      </c>
      <c r="B5" s="14" t="inlineStr">
        <is>
          <t>Sch 40 OD</t>
        </is>
      </c>
      <c r="C5" s="14" t="inlineStr">
        <is>
          <t>Sch 40 ID</t>
        </is>
      </c>
      <c r="D5" s="14" t="inlineStr">
        <is>
          <t>Copper OD</t>
        </is>
      </c>
      <c r="E5" s="14" t="inlineStr">
        <is>
          <t>Cu ID - K</t>
        </is>
      </c>
      <c r="F5" s="14" t="inlineStr">
        <is>
          <t>Cu ID - L</t>
        </is>
      </c>
      <c r="G5" s="14" t="inlineStr">
        <is>
          <t>Cu ID - M</t>
        </is>
      </c>
      <c r="H5" s="14" t="inlineStr">
        <is>
          <t>PEX ID*</t>
        </is>
      </c>
      <c r="I5" s="14" t="inlineStr">
        <is>
          <t>Sch 40 gal/ft</t>
        </is>
      </c>
      <c r="J5" s="14" t="inlineStr">
        <is>
          <t>Sch 40 GPM @ 6 ft/s</t>
        </is>
      </c>
    </row>
    <row r="6">
      <c r="A6" s="9" t="inlineStr">
        <is>
          <t>3/8 in</t>
        </is>
      </c>
      <c r="B6" s="9" t="inlineStr">
        <is>
          <t>—</t>
        </is>
      </c>
      <c r="C6" s="9" t="inlineStr">
        <is>
          <t>—</t>
        </is>
      </c>
      <c r="D6" s="67" t="n">
        <v>0.5</v>
      </c>
      <c r="E6" s="67" t="n">
        <v>0.402</v>
      </c>
      <c r="F6" s="67" t="n">
        <v>0.43</v>
      </c>
      <c r="G6" s="67" t="n">
        <v>0.45</v>
      </c>
      <c r="H6" s="67" t="n">
        <v>0.35</v>
      </c>
    </row>
    <row r="7">
      <c r="A7" s="9" t="inlineStr">
        <is>
          <t>1/2 in</t>
        </is>
      </c>
      <c r="B7" s="67" t="n">
        <v>0.84</v>
      </c>
      <c r="C7" s="67" t="n">
        <v>0.622</v>
      </c>
      <c r="D7" s="67" t="n">
        <v>0.625</v>
      </c>
      <c r="E7" s="67" t="n">
        <v>0.527</v>
      </c>
      <c r="F7" s="67" t="n">
        <v>0.545</v>
      </c>
      <c r="G7" s="67" t="n">
        <v>0.569</v>
      </c>
      <c r="H7" s="67" t="n">
        <v>0.475</v>
      </c>
      <c r="I7" s="67">
        <f>PI()*C7^2/4*12/231</f>
        <v/>
      </c>
      <c r="J7" s="62">
        <f>PI()*C7^2/4*(6*12)*60/231</f>
        <v/>
      </c>
    </row>
    <row r="8">
      <c r="A8" s="9" t="inlineStr">
        <is>
          <t>3/4 in</t>
        </is>
      </c>
      <c r="B8" s="67" t="n">
        <v>1.05</v>
      </c>
      <c r="C8" s="67" t="n">
        <v>0.824</v>
      </c>
      <c r="D8" s="67" t="n">
        <v>0.875</v>
      </c>
      <c r="E8" s="67" t="n">
        <v>0.745</v>
      </c>
      <c r="F8" s="67" t="n">
        <v>0.785</v>
      </c>
      <c r="G8" s="67" t="n">
        <v>0.8110000000000001</v>
      </c>
      <c r="H8" s="67" t="n">
        <v>0.671</v>
      </c>
      <c r="I8" s="67">
        <f>PI()*C8^2/4*12/231</f>
        <v/>
      </c>
      <c r="J8" s="62">
        <f>PI()*C8^2/4*(6*12)*60/231</f>
        <v/>
      </c>
    </row>
    <row r="9">
      <c r="A9" s="9" t="inlineStr">
        <is>
          <t>1 in</t>
        </is>
      </c>
      <c r="B9" s="67" t="n">
        <v>1.315</v>
      </c>
      <c r="C9" s="67" t="n">
        <v>1.049</v>
      </c>
      <c r="D9" s="67" t="n">
        <v>1.125</v>
      </c>
      <c r="E9" s="67" t="n">
        <v>0.995</v>
      </c>
      <c r="F9" s="67" t="n">
        <v>1.025</v>
      </c>
      <c r="G9" s="67" t="n">
        <v>1.055</v>
      </c>
      <c r="H9" s="67" t="n">
        <v>0.863</v>
      </c>
      <c r="I9" s="67">
        <f>PI()*C9^2/4*12/231</f>
        <v/>
      </c>
      <c r="J9" s="62">
        <f>PI()*C9^2/4*(6*12)*60/231</f>
        <v/>
      </c>
    </row>
    <row r="10">
      <c r="A10" s="9" t="inlineStr">
        <is>
          <t>1-1/4 in</t>
        </is>
      </c>
      <c r="B10" s="67" t="n">
        <v>1.66</v>
      </c>
      <c r="C10" s="67" t="n">
        <v>1.38</v>
      </c>
      <c r="D10" s="67" t="n">
        <v>1.375</v>
      </c>
      <c r="E10" s="67" t="n">
        <v>1.245</v>
      </c>
      <c r="F10" s="67" t="n">
        <v>1.265</v>
      </c>
      <c r="G10" s="67" t="n">
        <v>1.291</v>
      </c>
      <c r="H10" s="9" t="inlineStr">
        <is>
          <t>—</t>
        </is>
      </c>
      <c r="I10" s="67">
        <f>PI()*C10^2/4*12/231</f>
        <v/>
      </c>
      <c r="J10" s="62">
        <f>PI()*C10^2/4*(6*12)*60/231</f>
        <v/>
      </c>
    </row>
    <row r="11">
      <c r="A11" s="9" t="inlineStr">
        <is>
          <t>1-1/2 in</t>
        </is>
      </c>
      <c r="B11" s="67" t="n">
        <v>1.9</v>
      </c>
      <c r="C11" s="67" t="n">
        <v>1.61</v>
      </c>
      <c r="D11" s="67" t="n">
        <v>1.625</v>
      </c>
      <c r="E11" s="67" t="n">
        <v>1.481</v>
      </c>
      <c r="F11" s="67" t="n">
        <v>1.505</v>
      </c>
      <c r="G11" s="67" t="n">
        <v>1.527</v>
      </c>
      <c r="H11" s="9" t="inlineStr">
        <is>
          <t>—</t>
        </is>
      </c>
      <c r="I11" s="67">
        <f>PI()*C11^2/4*12/231</f>
        <v/>
      </c>
      <c r="J11" s="62">
        <f>PI()*C11^2/4*(6*12)*60/231</f>
        <v/>
      </c>
    </row>
    <row r="12">
      <c r="A12" s="9" t="inlineStr">
        <is>
          <t>2 in</t>
        </is>
      </c>
      <c r="B12" s="67" t="n">
        <v>2.375</v>
      </c>
      <c r="C12" s="67" t="n">
        <v>2.067</v>
      </c>
      <c r="D12" s="67" t="n">
        <v>2.125</v>
      </c>
      <c r="E12" s="67" t="n">
        <v>1.959</v>
      </c>
      <c r="F12" s="67" t="n">
        <v>1.985</v>
      </c>
      <c r="G12" s="67" t="n">
        <v>2.009</v>
      </c>
      <c r="H12" s="9" t="inlineStr">
        <is>
          <t>—</t>
        </is>
      </c>
      <c r="I12" s="67">
        <f>PI()*C12^2/4*12/231</f>
        <v/>
      </c>
      <c r="J12" s="62">
        <f>PI()*C12^2/4*(6*12)*60/231</f>
        <v/>
      </c>
    </row>
    <row r="13">
      <c r="A13" s="9" t="inlineStr">
        <is>
          <t>2-1/2 in</t>
        </is>
      </c>
      <c r="B13" s="67" t="n">
        <v>2.875</v>
      </c>
      <c r="C13" s="67" t="n">
        <v>2.469</v>
      </c>
      <c r="D13" s="9" t="inlineStr">
        <is>
          <t>—</t>
        </is>
      </c>
      <c r="E13" s="9" t="inlineStr">
        <is>
          <t>—</t>
        </is>
      </c>
      <c r="F13" s="9" t="inlineStr">
        <is>
          <t>—</t>
        </is>
      </c>
      <c r="G13" s="9" t="inlineStr">
        <is>
          <t>—</t>
        </is>
      </c>
      <c r="H13" s="9" t="inlineStr">
        <is>
          <t>—</t>
        </is>
      </c>
      <c r="I13" s="67">
        <f>PI()*C13^2/4*12/231</f>
        <v/>
      </c>
      <c r="J13" s="62">
        <f>PI()*C13^2/4*(6*12)*60/231</f>
        <v/>
      </c>
    </row>
    <row r="14">
      <c r="A14" s="9" t="inlineStr">
        <is>
          <t>3 in</t>
        </is>
      </c>
      <c r="B14" s="67" t="n">
        <v>3.5</v>
      </c>
      <c r="C14" s="67" t="n">
        <v>3.068</v>
      </c>
      <c r="D14" s="9" t="inlineStr">
        <is>
          <t>—</t>
        </is>
      </c>
      <c r="E14" s="9" t="inlineStr">
        <is>
          <t>—</t>
        </is>
      </c>
      <c r="F14" s="9" t="inlineStr">
        <is>
          <t>—</t>
        </is>
      </c>
      <c r="G14" s="9" t="inlineStr">
        <is>
          <t>—</t>
        </is>
      </c>
      <c r="H14" s="9" t="inlineStr">
        <is>
          <t>—</t>
        </is>
      </c>
      <c r="I14" s="67">
        <f>PI()*C14^2/4*12/231</f>
        <v/>
      </c>
      <c r="J14" s="62">
        <f>PI()*C14^2/4*(6*12)*60/231</f>
        <v/>
      </c>
    </row>
    <row r="15">
      <c r="A15" s="9" t="inlineStr">
        <is>
          <t>4 in</t>
        </is>
      </c>
      <c r="B15" s="67" t="n">
        <v>4.5</v>
      </c>
      <c r="C15" s="67" t="n">
        <v>4.026</v>
      </c>
      <c r="D15" s="9" t="inlineStr">
        <is>
          <t>—</t>
        </is>
      </c>
      <c r="E15" s="9" t="inlineStr">
        <is>
          <t>—</t>
        </is>
      </c>
      <c r="F15" s="9" t="inlineStr">
        <is>
          <t>—</t>
        </is>
      </c>
      <c r="G15" s="9" t="inlineStr">
        <is>
          <t>—</t>
        </is>
      </c>
      <c r="H15" s="9" t="inlineStr">
        <is>
          <t>—</t>
        </is>
      </c>
      <c r="I15" s="67">
        <f>PI()*C15^2/4*12/231</f>
        <v/>
      </c>
      <c r="J15" s="62">
        <f>PI()*C15^2/4*(6*12)*60/231</f>
        <v/>
      </c>
    </row>
    <row r="16">
      <c r="A16" s="9" t="inlineStr">
        <is>
          <t>6 in</t>
        </is>
      </c>
      <c r="B16" s="67" t="n">
        <v>6.625</v>
      </c>
      <c r="C16" s="67" t="n">
        <v>6.065</v>
      </c>
      <c r="D16" s="9" t="inlineStr">
        <is>
          <t>—</t>
        </is>
      </c>
      <c r="E16" s="9" t="inlineStr">
        <is>
          <t>—</t>
        </is>
      </c>
      <c r="F16" s="9" t="inlineStr">
        <is>
          <t>—</t>
        </is>
      </c>
      <c r="G16" s="9" t="inlineStr">
        <is>
          <t>—</t>
        </is>
      </c>
      <c r="H16" s="9" t="inlineStr">
        <is>
          <t>—</t>
        </is>
      </c>
      <c r="I16" s="67">
        <f>PI()*C16^2/4*12/231</f>
        <v/>
      </c>
      <c r="J16" s="62">
        <f>PI()*C16^2/4*(6*12)*60/231</f>
        <v/>
      </c>
    </row>
    <row r="17" ht="56" customHeight="1">
      <c r="A17" s="61" t="inlineStr">
        <is>
          <t>Nominal size is a name, not a measurement. Copper and PEX are CTS: the outside always measures 1/8 in over the name (1/2 in tube is 5/8 in OD). PEX walls run thicker than copper, so the same name size flows less - a 3/4 in PEX line carries about what a 5/8 in copper line would. *PEX inside diameters are the usual published SDR-9 figures and run approximate. Flow at 6 ft/s sits mid-range of the 4-8 ft/s design band; keep distribution quiet and erosion-safe under about 8 ft/s.</t>
        </is>
      </c>
    </row>
    <row r="19" ht="20" customHeight="1">
      <c r="A19" s="35" t="inlineStr">
        <is>
          <t>DRAIN SLOPE BY PIPE SIZE - minimum pitch, and the drop it eats over a run</t>
        </is>
      </c>
    </row>
    <row r="20">
      <c r="A20" s="14" t="inlineStr">
        <is>
          <t>Pipe size</t>
        </is>
      </c>
      <c r="B20" s="14" t="inlineStr">
        <is>
          <t>Min pitch (in/ft)</t>
        </is>
      </c>
      <c r="C20" s="14" t="inlineStr">
        <is>
          <t>Grade</t>
        </is>
      </c>
      <c r="D20" s="14" t="inlineStr">
        <is>
          <t>Drop over 10 ft (in)</t>
        </is>
      </c>
      <c r="E20" s="14" t="inlineStr">
        <is>
          <t>Drop over 20 ft (in)</t>
        </is>
      </c>
      <c r="F20" s="14" t="inlineStr">
        <is>
          <t>Drop over 40 ft (in)</t>
        </is>
      </c>
    </row>
    <row r="21">
      <c r="A21" s="9" t="inlineStr">
        <is>
          <t>1-1/4 in</t>
        </is>
      </c>
      <c r="B21" s="67" t="n">
        <v>0.25</v>
      </c>
      <c r="C21" s="9" t="inlineStr">
        <is>
          <t>≈ 2%</t>
        </is>
      </c>
      <c r="D21" s="62">
        <f>B21*10</f>
        <v/>
      </c>
      <c r="E21" s="62">
        <f>B21*20</f>
        <v/>
      </c>
      <c r="F21" s="62">
        <f>B21*40</f>
        <v/>
      </c>
    </row>
    <row r="22">
      <c r="A22" s="9" t="inlineStr">
        <is>
          <t>1-1/2 in</t>
        </is>
      </c>
      <c r="B22" s="67" t="n">
        <v>0.25</v>
      </c>
      <c r="C22" s="9" t="inlineStr">
        <is>
          <t>≈ 2%</t>
        </is>
      </c>
      <c r="D22" s="62">
        <f>B22*10</f>
        <v/>
      </c>
      <c r="E22" s="62">
        <f>B22*20</f>
        <v/>
      </c>
      <c r="F22" s="62">
        <f>B22*40</f>
        <v/>
      </c>
    </row>
    <row r="23">
      <c r="A23" s="9" t="inlineStr">
        <is>
          <t>2 in</t>
        </is>
      </c>
      <c r="B23" s="67" t="n">
        <v>0.25</v>
      </c>
      <c r="C23" s="9" t="inlineStr">
        <is>
          <t>≈ 2%</t>
        </is>
      </c>
      <c r="D23" s="62">
        <f>B23*10</f>
        <v/>
      </c>
      <c r="E23" s="62">
        <f>B23*20</f>
        <v/>
      </c>
      <c r="F23" s="62">
        <f>B23*40</f>
        <v/>
      </c>
    </row>
    <row r="24">
      <c r="A24" s="9" t="inlineStr">
        <is>
          <t>2-1/2 in</t>
        </is>
      </c>
      <c r="B24" s="67" t="n">
        <v>0.25</v>
      </c>
      <c r="C24" s="9" t="inlineStr">
        <is>
          <t>≈ 2%</t>
        </is>
      </c>
      <c r="D24" s="62">
        <f>B24*10</f>
        <v/>
      </c>
      <c r="E24" s="62">
        <f>B24*20</f>
        <v/>
      </c>
      <c r="F24" s="62">
        <f>B24*40</f>
        <v/>
      </c>
    </row>
    <row r="25">
      <c r="A25" s="9" t="inlineStr">
        <is>
          <t>3 in</t>
        </is>
      </c>
      <c r="B25" s="67" t="n">
        <v>0.125</v>
      </c>
      <c r="C25" s="9" t="inlineStr">
        <is>
          <t>≈ 1%</t>
        </is>
      </c>
      <c r="D25" s="62">
        <f>B25*10</f>
        <v/>
      </c>
      <c r="E25" s="62">
        <f>B25*20</f>
        <v/>
      </c>
      <c r="F25" s="62">
        <f>B25*40</f>
        <v/>
      </c>
    </row>
    <row r="26">
      <c r="A26" s="9" t="inlineStr">
        <is>
          <t>4 in</t>
        </is>
      </c>
      <c r="B26" s="67" t="n">
        <v>0.125</v>
      </c>
      <c r="C26" s="9" t="inlineStr">
        <is>
          <t>≈ 1%</t>
        </is>
      </c>
      <c r="D26" s="62">
        <f>B26*10</f>
        <v/>
      </c>
      <c r="E26" s="62">
        <f>B26*20</f>
        <v/>
      </c>
      <c r="F26" s="62">
        <f>B26*40</f>
        <v/>
      </c>
    </row>
    <row r="27">
      <c r="A27" s="9" t="inlineStr">
        <is>
          <t>6 in</t>
        </is>
      </c>
      <c r="B27" s="67" t="n">
        <v>0.125</v>
      </c>
      <c r="C27" s="9" t="inlineStr">
        <is>
          <t>≈ 1%</t>
        </is>
      </c>
      <c r="D27" s="62">
        <f>B27*10</f>
        <v/>
      </c>
      <c r="E27" s="62">
        <f>B27*20</f>
        <v/>
      </c>
      <c r="F27" s="62">
        <f>B27*40</f>
        <v/>
      </c>
    </row>
    <row r="28" ht="42" customHeight="1">
      <c r="A28" s="61" t="inlineStr">
        <is>
          <t>Minimums per IPC Table 704.1 (the Plumbing sheet's Drain Slope calculator works any run). Check the drop before you glue - 40 ft of 2 in drain at minimum pitch eats 10 in of ceiling bay. Some UPC jurisdictions still want 1/4 in per foot on 3 in pipe; check the local code before counting on 1/8.</t>
        </is>
      </c>
    </row>
    <row r="30" ht="20" customHeight="1">
      <c r="A30" s="35" t="inlineStr">
        <is>
          <t>DRAINAGE FIXTURE UNITS - what each fixture loads the drain with (IPC Table 709.1)</t>
        </is>
      </c>
    </row>
    <row r="31">
      <c r="A31" s="14" t="inlineStr">
        <is>
          <t>Fixture</t>
        </is>
      </c>
      <c r="B31" s="14" t="inlineStr">
        <is>
          <t>DFU</t>
        </is>
      </c>
      <c r="C31" s="14" t="inlineStr">
        <is>
          <t>Min trap (in)</t>
        </is>
      </c>
    </row>
    <row r="32">
      <c r="A32" s="9" t="inlineStr">
        <is>
          <t>Water closet, private, 1.6 gpf or less</t>
        </is>
      </c>
      <c r="B32" s="66" t="n">
        <v>3</v>
      </c>
      <c r="C32" s="9" t="inlineStr">
        <is>
          <t>—</t>
        </is>
      </c>
    </row>
    <row r="33">
      <c r="A33" s="9" t="inlineStr">
        <is>
          <t>Water closet, private, over 1.6 gpf</t>
        </is>
      </c>
      <c r="B33" s="66" t="n">
        <v>4</v>
      </c>
      <c r="C33" s="9" t="inlineStr">
        <is>
          <t>—</t>
        </is>
      </c>
    </row>
    <row r="34">
      <c r="A34" s="9" t="inlineStr">
        <is>
          <t>Water closet, public, 1.6 gpf or less</t>
        </is>
      </c>
      <c r="B34" s="66" t="n">
        <v>4</v>
      </c>
      <c r="C34" s="9" t="inlineStr">
        <is>
          <t>—</t>
        </is>
      </c>
    </row>
    <row r="35">
      <c r="A35" s="9" t="inlineStr">
        <is>
          <t>Water closet, public, over 1.6 gpf</t>
        </is>
      </c>
      <c r="B35" s="66" t="n">
        <v>6</v>
      </c>
      <c r="C35" s="9" t="inlineStr">
        <is>
          <t>—</t>
        </is>
      </c>
    </row>
    <row r="36">
      <c r="A36" s="9" t="inlineStr">
        <is>
          <t>Water closet, flushometer tank</t>
        </is>
      </c>
      <c r="B36" s="66" t="n">
        <v>4</v>
      </c>
      <c r="C36" s="9" t="inlineStr">
        <is>
          <t>—</t>
        </is>
      </c>
    </row>
    <row r="37">
      <c r="A37" s="9" t="inlineStr">
        <is>
          <t>Bathroom group, private (1.6 gpf closet)</t>
        </is>
      </c>
      <c r="B37" s="66" t="n">
        <v>5</v>
      </c>
      <c r="C37" s="9" t="inlineStr">
        <is>
          <t>—</t>
        </is>
      </c>
    </row>
    <row r="38">
      <c r="A38" s="9" t="inlineStr">
        <is>
          <t>Bathroom group, private (over 1.6 gpf)</t>
        </is>
      </c>
      <c r="B38" s="66" t="n">
        <v>6</v>
      </c>
      <c r="C38" s="9" t="inlineStr">
        <is>
          <t>—</t>
        </is>
      </c>
    </row>
    <row r="39">
      <c r="A39" s="9" t="inlineStr">
        <is>
          <t>Lavatory (bathroom sink)</t>
        </is>
      </c>
      <c r="B39" s="66" t="n">
        <v>1</v>
      </c>
      <c r="C39" s="9" t="inlineStr">
        <is>
          <t>1-1/4</t>
        </is>
      </c>
    </row>
    <row r="40">
      <c r="A40" s="9" t="inlineStr">
        <is>
          <t>Bidet</t>
        </is>
      </c>
      <c r="B40" s="66" t="n">
        <v>1</v>
      </c>
      <c r="C40" s="9" t="inlineStr">
        <is>
          <t>1-1/4</t>
        </is>
      </c>
    </row>
    <row r="41">
      <c r="A41" s="9" t="inlineStr">
        <is>
          <t>Bathtub, with or without shower</t>
        </is>
      </c>
      <c r="B41" s="66" t="n">
        <v>2</v>
      </c>
      <c r="C41" s="9" t="inlineStr">
        <is>
          <t>1-1/2</t>
        </is>
      </c>
    </row>
    <row r="42">
      <c r="A42" s="9" t="inlineStr">
        <is>
          <t>Shower, 5.7 gpm or less</t>
        </is>
      </c>
      <c r="B42" s="66" t="n">
        <v>2</v>
      </c>
      <c r="C42" s="9" t="inlineStr">
        <is>
          <t>1-1/2</t>
        </is>
      </c>
    </row>
    <row r="43">
      <c r="A43" s="9" t="inlineStr">
        <is>
          <t>Shower, over 5.7 to 12.3 gpm</t>
        </is>
      </c>
      <c r="B43" s="66" t="n">
        <v>3</v>
      </c>
      <c r="C43" s="9" t="inlineStr">
        <is>
          <t>2</t>
        </is>
      </c>
    </row>
    <row r="44">
      <c r="A44" s="9" t="inlineStr">
        <is>
          <t>Kitchen sink, domestic (disposer and/or dishwasher incl.)</t>
        </is>
      </c>
      <c r="B44" s="66" t="n">
        <v>2</v>
      </c>
      <c r="C44" s="9" t="inlineStr">
        <is>
          <t>1-1/2</t>
        </is>
      </c>
    </row>
    <row r="45">
      <c r="A45" s="9" t="inlineStr">
        <is>
          <t>Dishwasher, domestic</t>
        </is>
      </c>
      <c r="B45" s="66" t="n">
        <v>2</v>
      </c>
      <c r="C45" s="9" t="inlineStr">
        <is>
          <t>1-1/2</t>
        </is>
      </c>
    </row>
    <row r="46">
      <c r="A46" s="9" t="inlineStr">
        <is>
          <t>Clothes washer, residential</t>
        </is>
      </c>
      <c r="B46" s="66" t="n">
        <v>2</v>
      </c>
      <c r="C46" s="9" t="inlineStr">
        <is>
          <t>2</t>
        </is>
      </c>
    </row>
    <row r="47">
      <c r="A47" s="9" t="inlineStr">
        <is>
          <t>Clothes washer, commercial</t>
        </is>
      </c>
      <c r="B47" s="66" t="n">
        <v>3</v>
      </c>
      <c r="C47" s="9" t="inlineStr">
        <is>
          <t>2</t>
        </is>
      </c>
    </row>
    <row r="48">
      <c r="A48" s="9" t="inlineStr">
        <is>
          <t>Laundry tray, 1 or 2 compartments</t>
        </is>
      </c>
      <c r="B48" s="66" t="n">
        <v>2</v>
      </c>
      <c r="C48" s="9" t="inlineStr">
        <is>
          <t>1-1/2</t>
        </is>
      </c>
    </row>
    <row r="49">
      <c r="A49" s="9" t="inlineStr">
        <is>
          <t>Service sink / slop sink</t>
        </is>
      </c>
      <c r="B49" s="66" t="n">
        <v>2</v>
      </c>
      <c r="C49" s="9" t="inlineStr">
        <is>
          <t>1-1/2</t>
        </is>
      </c>
    </row>
    <row r="50">
      <c r="A50" s="9" t="inlineStr">
        <is>
          <t>Floor drain</t>
        </is>
      </c>
      <c r="B50" s="66" t="n">
        <v>2</v>
      </c>
      <c r="C50" s="9" t="inlineStr">
        <is>
          <t>2</t>
        </is>
      </c>
    </row>
    <row r="51">
      <c r="A51" s="9" t="inlineStr">
        <is>
          <t>Emergency floor drain</t>
        </is>
      </c>
      <c r="B51" s="66" t="n">
        <v>0</v>
      </c>
      <c r="C51" s="9" t="inlineStr">
        <is>
          <t>2</t>
        </is>
      </c>
    </row>
    <row r="52">
      <c r="A52" s="9" t="inlineStr">
        <is>
          <t>Drinking fountain</t>
        </is>
      </c>
      <c r="B52" s="62" t="n">
        <v>0.5</v>
      </c>
      <c r="C52" s="9" t="inlineStr">
        <is>
          <t>1-1/4</t>
        </is>
      </c>
    </row>
    <row r="53">
      <c r="A53" s="9" t="inlineStr">
        <is>
          <t>Urinal</t>
        </is>
      </c>
      <c r="B53" s="66" t="n">
        <v>4</v>
      </c>
      <c r="C53" s="9" t="inlineStr">
        <is>
          <t>—</t>
        </is>
      </c>
    </row>
    <row r="54">
      <c r="A54" s="9" t="inlineStr">
        <is>
          <t>Urinal, 1 gpf or less</t>
        </is>
      </c>
      <c r="B54" s="66" t="n">
        <v>2</v>
      </c>
      <c r="C54" s="9" t="inlineStr">
        <is>
          <t>—</t>
        </is>
      </c>
    </row>
    <row r="55" ht="42" customHeight="1">
      <c r="A55" s="61" t="inlineStr">
        <is>
          <t>Fixture not on the list? Rate it by its trap size (IPC Table 709.2): 1-1/4 in trap = 1 DFU, 1-1/2 in = 2, 2 in = 3, 3 in = 5, 4 in = 6. Add the DFUs up and size the drain from the table below.</t>
        </is>
      </c>
    </row>
    <row r="57" ht="20" customHeight="1">
      <c r="A57" s="35" t="inlineStr">
        <is>
          <t>BUILDING DRAIN CAPACITY - most DFU a drain may carry, by size and slope (IPC Table 710.1(1))</t>
        </is>
      </c>
    </row>
    <row r="58">
      <c r="A58" s="14" t="inlineStr">
        <is>
          <t>Pipe size</t>
        </is>
      </c>
      <c r="B58" s="14" t="inlineStr">
        <is>
          <t>DFU @ 1/8 in/ft</t>
        </is>
      </c>
      <c r="C58" s="14" t="inlineStr">
        <is>
          <t>DFU @ 1/4 in/ft</t>
        </is>
      </c>
      <c r="D58" s="14" t="inlineStr">
        <is>
          <t>DFU @ 1/2 in/ft</t>
        </is>
      </c>
    </row>
    <row r="59">
      <c r="A59" s="9" t="inlineStr">
        <is>
          <t>2 in</t>
        </is>
      </c>
      <c r="B59" s="9" t="inlineStr">
        <is>
          <t>—</t>
        </is>
      </c>
      <c r="C59" s="66" t="n">
        <v>21</v>
      </c>
      <c r="D59" s="66" t="n">
        <v>26</v>
      </c>
    </row>
    <row r="60">
      <c r="A60" s="9" t="inlineStr">
        <is>
          <t>2-1/2 in</t>
        </is>
      </c>
      <c r="B60" s="9" t="inlineStr">
        <is>
          <t>—</t>
        </is>
      </c>
      <c r="C60" s="66" t="n">
        <v>24</v>
      </c>
      <c r="D60" s="66" t="n">
        <v>31</v>
      </c>
    </row>
    <row r="61">
      <c r="A61" s="9" t="inlineStr">
        <is>
          <t>3 in</t>
        </is>
      </c>
      <c r="B61" s="66" t="n">
        <v>36</v>
      </c>
      <c r="C61" s="66" t="n">
        <v>42</v>
      </c>
      <c r="D61" s="66" t="n">
        <v>50</v>
      </c>
    </row>
    <row r="62">
      <c r="A62" s="9" t="inlineStr">
        <is>
          <t>4 in</t>
        </is>
      </c>
      <c r="B62" s="66" t="n">
        <v>180</v>
      </c>
      <c r="C62" s="66" t="n">
        <v>216</v>
      </c>
      <c r="D62" s="66" t="n">
        <v>250</v>
      </c>
    </row>
    <row r="63">
      <c r="A63" s="9" t="inlineStr">
        <is>
          <t>5 in</t>
        </is>
      </c>
      <c r="B63" s="66" t="n">
        <v>390</v>
      </c>
      <c r="C63" s="66" t="n">
        <v>480</v>
      </c>
      <c r="D63" s="66" t="n">
        <v>575</v>
      </c>
    </row>
    <row r="64">
      <c r="A64" s="9" t="inlineStr">
        <is>
          <t>6 in</t>
        </is>
      </c>
      <c r="B64" s="66" t="n">
        <v>700</v>
      </c>
      <c r="C64" s="66" t="n">
        <v>840</v>
      </c>
      <c r="D64" s="66" t="n">
        <v>1000</v>
      </c>
    </row>
    <row r="65" ht="42" customHeight="1">
      <c r="A65" s="61" t="inlineStr">
        <is>
          <t>For building drains, building sewers and their horizontal branches. Any drain that carries a water closet must be 3 in or larger. Stacks and horizontal fixture branches are sized from different tables (IPC 710.1(2)) - do not mix them.</t>
        </is>
      </c>
    </row>
    <row r="67" ht="20" customHeight="1">
      <c r="A67" s="35" t="inlineStr">
        <is>
          <t>HEAD, PRESSURE &amp; ROUGH-IN - quick numbers</t>
        </is>
      </c>
    </row>
    <row r="68" ht="28" customHeight="1">
      <c r="A68" s="61" t="inlineStr">
        <is>
          <t>•  1 psi of pressure lifts water 2.31 ft - and every foot of height costs 0.433 psi. A second-floor shower 10 ft above the main loses about 4.3 psi on the way up.</t>
        </is>
      </c>
    </row>
    <row r="69" ht="28" customHeight="1">
      <c r="A69" s="61" t="inlineStr">
        <is>
          <t>•  Water weighs 8.34 lb per gallon. The water alone in a full 40-gallon heater weighs about 334 lb - set the pan and the floor accordingly.</t>
        </is>
      </c>
    </row>
    <row r="70" ht="28" customHeight="1">
      <c r="A70" s="61" t="inlineStr">
        <is>
          <t>•  1 cubic foot = 7.48 gallons - the conversion behind every volume number on the Plumbing sheet.</t>
        </is>
      </c>
    </row>
    <row r="71" ht="28" customHeight="1">
      <c r="A71" s="61" t="inlineStr">
        <is>
          <t>•  House static pressure belongs between 40 and 80 psi. Over 80 psi the code (IPC 604.8) calls for a pressure-reducing valve.</t>
        </is>
      </c>
    </row>
    <row r="72" ht="28" customHeight="1">
      <c r="A72" s="61" t="inlineStr">
        <is>
          <t>•  Water-heater T&amp;P relief valves open at 150 psi or 210 °F. Never plug one, cap one, or reduce its discharge line.</t>
        </is>
      </c>
    </row>
    <row r="73" ht="28" customHeight="1">
      <c r="A73" s="61" t="inlineStr">
        <is>
          <t>•  Toilet rough-in: the flange centerline sits 12 in off the finished wall (10 in and 14 in are specialty sizes). The supply stop typically lands about 6 in above the floor and 6 in left of the centerline.</t>
        </is>
      </c>
    </row>
    <row r="74" ht="28" customHeight="1">
      <c r="A74" s="61" t="inlineStr">
        <is>
          <t>•  Longest trap arm allowed (IPC Table 909.1): 1-1/4 in - 5 ft; 1-1/2 in - 6 ft; 2 in - 8 ft; 3 in - 12 ft, at code slope. UPC allows less - check locally.</t>
        </is>
      </c>
    </row>
    <row r="75" ht="28" customHeight="1">
      <c r="A75" s="61" t="inlineStr">
        <is>
          <t>•  Fitting take-outs: cut length = center-to-center minus the take-out at each end, and take-out = center-to-end minus socket depth. Take-outs vary by brand and fitting pattern, so measure the fitting in your hand instead of trusting a generic chart.</t>
        </is>
      </c>
    </row>
    <row r="77" ht="56" customHeight="1">
      <c r="A77" s="61" t="inlineStr">
        <is>
          <t>Sources: Schedule 40 dimensions as printed on the Plumbing sheet; copper tube dimensions per ASTM B88; PEX IDs are published SDR-9 figures (approximate); slope per IPC Table 704.1; fixture units per IPC Tables 709.1 and 709.2; drain capacity per IPC Table 710.1(1); trap arms per IPC Table 909.1; pressure limit per IPC 604.8. The code edition adopted where you work governs.</t>
        </is>
      </c>
    </row>
  </sheetData>
  <mergeCells count="20">
    <mergeCell ref="A17:J17"/>
    <mergeCell ref="A4:J4"/>
    <mergeCell ref="A72:J72"/>
    <mergeCell ref="A28:J28"/>
    <mergeCell ref="A68:J68"/>
    <mergeCell ref="A19:J19"/>
    <mergeCell ref="A67:J67"/>
    <mergeCell ref="A30:J30"/>
    <mergeCell ref="A77:J77"/>
    <mergeCell ref="A73:J73"/>
    <mergeCell ref="A1:J1"/>
    <mergeCell ref="A70:J70"/>
    <mergeCell ref="A69:J69"/>
    <mergeCell ref="A65:J65"/>
    <mergeCell ref="A75:J75"/>
    <mergeCell ref="A74:J74"/>
    <mergeCell ref="A55:J55"/>
    <mergeCell ref="A57:J57"/>
    <mergeCell ref="A2:J2"/>
    <mergeCell ref="A71:J71"/>
  </mergeCells>
  <pageMargins left="0.75" right="0.75" top="1" bottom="1" header="0.5" footer="0.5"/>
  <pageSetup orientation="portrait" fitToWidth="1"/>
  <headerFooter>
    <oddHeader>&amp;C&amp;11 Highway 38 Solutions</oddHeader>
    <oddFooter/>
    <evenHeader>&amp;C&amp;11 Highway 38 Solutions</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outlinePr summaryBelow="1" summaryRight="1"/>
    <pageSetUpPr fitToPage="1"/>
  </sheetPr>
  <dimension ref="A1:J193"/>
  <sheetViews>
    <sheetView workbookViewId="0">
      <selection activeCell="A1" sqref="A1"/>
    </sheetView>
  </sheetViews>
  <sheetFormatPr baseColWidth="8" defaultRowHeight="15"/>
  <cols>
    <col width="44" customWidth="1" min="1" max="1"/>
    <col width="13" customWidth="1" min="2" max="2"/>
    <col width="13" customWidth="1" min="3" max="3"/>
    <col width="14" customWidth="1" min="4" max="4"/>
    <col width="13" customWidth="1" min="5" max="5"/>
    <col width="13" customWidth="1" min="6" max="6"/>
    <col width="13" customWidth="1" min="7" max="7"/>
    <col width="13" customWidth="1" min="8" max="8"/>
    <col width="13" customWidth="1" min="9" max="9"/>
    <col width="13" customWidth="1" min="10" max="10"/>
  </cols>
  <sheetData>
    <row r="1" ht="24" customHeight="1">
      <c r="A1" s="56" t="inlineStr">
        <is>
          <t>PLUMBING SIZING - Water supply, gas, expansion tanks &amp; sump pumps</t>
        </is>
      </c>
    </row>
    <row r="2" ht="28" customHeight="1">
      <c r="A2" s="2" t="inlineStr">
        <is>
          <t>Four sizing jobs: water service by fixture units (IPC Appendix E), gas pipe by the longest-length method (IFGC), expansion tank for the water heater, and a sump-pump basin check.</t>
        </is>
      </c>
    </row>
    <row r="4" ht="20" customHeight="1">
      <c r="A4" s="35" t="inlineStr">
        <is>
          <t>1 - WATER SUPPLY SIZING - fixture units (IPC Appendix E)</t>
        </is>
      </c>
    </row>
    <row r="5">
      <c r="A5" s="14" t="inlineStr">
        <is>
          <t>Fixture</t>
        </is>
      </c>
      <c r="B5" s="14" t="inlineStr">
        <is>
          <t>WSFU each</t>
        </is>
      </c>
      <c r="C5" s="14" t="inlineStr">
        <is>
          <t>Count</t>
        </is>
      </c>
      <c r="D5" s="14" t="inlineStr">
        <is>
          <t>Line total</t>
        </is>
      </c>
    </row>
    <row r="6">
      <c r="A6" s="44" t="inlineStr">
        <is>
          <t>Water closet - private, flush tank</t>
        </is>
      </c>
      <c r="B6" s="75" t="n">
        <v>2.2</v>
      </c>
      <c r="C6" s="36" t="n">
        <v>2</v>
      </c>
      <c r="D6" s="75">
        <f>B6*C6</f>
        <v/>
      </c>
    </row>
    <row r="7">
      <c r="A7" s="44" t="inlineStr">
        <is>
          <t>Water closet - private, flush valve</t>
        </is>
      </c>
      <c r="B7" s="75" t="n">
        <v>6</v>
      </c>
      <c r="C7" s="36" t="n">
        <v>0</v>
      </c>
      <c r="D7" s="75">
        <f>B7*C7</f>
        <v/>
      </c>
    </row>
    <row r="8">
      <c r="A8" s="44" t="inlineStr">
        <is>
          <t>Water closet - public, flush tank</t>
        </is>
      </c>
      <c r="B8" s="75" t="n">
        <v>5</v>
      </c>
      <c r="C8" s="36" t="n">
        <v>0</v>
      </c>
      <c r="D8" s="75">
        <f>B8*C8</f>
        <v/>
      </c>
    </row>
    <row r="9">
      <c r="A9" s="44" t="inlineStr">
        <is>
          <t>Water closet - public, flush valve</t>
        </is>
      </c>
      <c r="B9" s="75" t="n">
        <v>10</v>
      </c>
      <c r="C9" s="36" t="n">
        <v>0</v>
      </c>
      <c r="D9" s="75">
        <f>B9*C9</f>
        <v/>
      </c>
    </row>
    <row r="10">
      <c r="A10" s="44" t="inlineStr">
        <is>
          <t>Lavatory - private</t>
        </is>
      </c>
      <c r="B10" s="75" t="n">
        <v>0.7</v>
      </c>
      <c r="C10" s="36" t="n">
        <v>2</v>
      </c>
      <c r="D10" s="75">
        <f>B10*C10</f>
        <v/>
      </c>
    </row>
    <row r="11">
      <c r="A11" s="44" t="inlineStr">
        <is>
          <t>Lavatory - public</t>
        </is>
      </c>
      <c r="B11" s="75" t="n">
        <v>2</v>
      </c>
      <c r="C11" s="36" t="n">
        <v>0</v>
      </c>
      <c r="D11" s="75">
        <f>B11*C11</f>
        <v/>
      </c>
    </row>
    <row r="12">
      <c r="A12" s="44" t="inlineStr">
        <is>
          <t>Bathtub - private</t>
        </is>
      </c>
      <c r="B12" s="75" t="n">
        <v>1.4</v>
      </c>
      <c r="C12" s="36" t="n">
        <v>1</v>
      </c>
      <c r="D12" s="75">
        <f>B12*C12</f>
        <v/>
      </c>
    </row>
    <row r="13">
      <c r="A13" s="44" t="inlineStr">
        <is>
          <t>Bathtub - public</t>
        </is>
      </c>
      <c r="B13" s="75" t="n">
        <v>4</v>
      </c>
      <c r="C13" s="36" t="n">
        <v>0</v>
      </c>
      <c r="D13" s="75">
        <f>B13*C13</f>
        <v/>
      </c>
    </row>
    <row r="14">
      <c r="A14" s="44" t="inlineStr">
        <is>
          <t>Shower head - private</t>
        </is>
      </c>
      <c r="B14" s="75" t="n">
        <v>1.4</v>
      </c>
      <c r="C14" s="36" t="n">
        <v>1</v>
      </c>
      <c r="D14" s="75">
        <f>B14*C14</f>
        <v/>
      </c>
    </row>
    <row r="15">
      <c r="A15" s="44" t="inlineStr">
        <is>
          <t>Shower head - public</t>
        </is>
      </c>
      <c r="B15" s="75" t="n">
        <v>4</v>
      </c>
      <c r="C15" s="36" t="n">
        <v>0</v>
      </c>
      <c r="D15" s="75">
        <f>B15*C15</f>
        <v/>
      </c>
    </row>
    <row r="16">
      <c r="A16" s="44" t="inlineStr">
        <is>
          <t>Kitchen sink - private</t>
        </is>
      </c>
      <c r="B16" s="75" t="n">
        <v>1.4</v>
      </c>
      <c r="C16" s="36" t="n">
        <v>1</v>
      </c>
      <c r="D16" s="75">
        <f>B16*C16</f>
        <v/>
      </c>
    </row>
    <row r="17">
      <c r="A17" s="44" t="inlineStr">
        <is>
          <t>Kitchen sink - hotel / restaurant</t>
        </is>
      </c>
      <c r="B17" s="75" t="n">
        <v>4</v>
      </c>
      <c r="C17" s="36" t="n">
        <v>0</v>
      </c>
      <c r="D17" s="75">
        <f>B17*C17</f>
        <v/>
      </c>
    </row>
    <row r="18">
      <c r="A18" s="44" t="inlineStr">
        <is>
          <t>Dishwashing machine - private</t>
        </is>
      </c>
      <c r="B18" s="75" t="n">
        <v>1.4</v>
      </c>
      <c r="C18" s="36" t="n">
        <v>1</v>
      </c>
      <c r="D18" s="75">
        <f>B18*C18</f>
        <v/>
      </c>
    </row>
    <row r="19">
      <c r="A19" s="44" t="inlineStr">
        <is>
          <t>Washing machine - private</t>
        </is>
      </c>
      <c r="B19" s="75" t="n">
        <v>1.4</v>
      </c>
      <c r="C19" s="36" t="n">
        <v>1</v>
      </c>
      <c r="D19" s="75">
        <f>B19*C19</f>
        <v/>
      </c>
    </row>
    <row r="20">
      <c r="A20" s="44" t="inlineStr">
        <is>
          <t>Washing machine - public</t>
        </is>
      </c>
      <c r="B20" s="75" t="n">
        <v>3</v>
      </c>
      <c r="C20" s="36" t="n">
        <v>0</v>
      </c>
      <c r="D20" s="75">
        <f>B20*C20</f>
        <v/>
      </c>
    </row>
    <row r="21">
      <c r="A21" s="44" t="inlineStr">
        <is>
          <t>Laundry trays - private</t>
        </is>
      </c>
      <c r="B21" s="75" t="n">
        <v>1.4</v>
      </c>
      <c r="C21" s="36" t="n">
        <v>0</v>
      </c>
      <c r="D21" s="75">
        <f>B21*C21</f>
        <v/>
      </c>
    </row>
    <row r="22">
      <c r="A22" s="44" t="inlineStr">
        <is>
          <t>Bathroom group - private, flush tank</t>
        </is>
      </c>
      <c r="B22" s="75" t="n">
        <v>3.6</v>
      </c>
      <c r="C22" s="36" t="n">
        <v>0</v>
      </c>
      <c r="D22" s="75">
        <f>B22*C22</f>
        <v/>
      </c>
    </row>
    <row r="23">
      <c r="A23" s="44" t="inlineStr">
        <is>
          <t>Service sink</t>
        </is>
      </c>
      <c r="B23" s="75" t="n">
        <v>3</v>
      </c>
      <c r="C23" s="36" t="n">
        <v>0</v>
      </c>
      <c r="D23" s="75">
        <f>B23*C23</f>
        <v/>
      </c>
    </row>
    <row r="24">
      <c r="A24" s="44" t="inlineStr">
        <is>
          <t>Urinal - public, flush valve</t>
        </is>
      </c>
      <c r="B24" s="75" t="n">
        <v>5</v>
      </c>
      <c r="C24" s="36" t="n">
        <v>0</v>
      </c>
      <c r="D24" s="75">
        <f>B24*C24</f>
        <v/>
      </c>
    </row>
    <row r="25">
      <c r="A25" s="44" t="inlineStr">
        <is>
          <t>Urinal - public, flush tank</t>
        </is>
      </c>
      <c r="B25" s="75" t="n">
        <v>3</v>
      </c>
      <c r="C25" s="36" t="n">
        <v>0</v>
      </c>
      <c r="D25" s="75">
        <f>B25*C25</f>
        <v/>
      </c>
    </row>
    <row r="26">
      <c r="A26" s="44" t="inlineStr">
        <is>
          <t>Drinking fountain</t>
        </is>
      </c>
      <c r="B26" s="75" t="n">
        <v>0.25</v>
      </c>
      <c r="C26" s="36" t="n">
        <v>0</v>
      </c>
      <c r="D26" s="75">
        <f>B26*C26</f>
        <v/>
      </c>
    </row>
    <row r="27">
      <c r="A27" s="44" t="inlineStr">
        <is>
          <t>Other fixtures - WSFU each (type it) and count</t>
        </is>
      </c>
      <c r="B27" s="73" t="n">
        <v>0</v>
      </c>
      <c r="C27" s="36" t="n">
        <v>0</v>
      </c>
      <c r="D27" s="75">
        <f>B27*C27</f>
        <v/>
      </c>
    </row>
    <row r="28">
      <c r="A28" s="14" t="inlineStr">
        <is>
          <t>TOTAL FIXTURE UNITS (WSFU)</t>
        </is>
      </c>
      <c r="B28" s="78">
        <f>SUM(D6:D27)</f>
        <v/>
      </c>
    </row>
    <row r="29">
      <c r="A29" s="14" t="inlineStr">
        <is>
          <t>ESTIMATED DEMAND (gallons per minute)</t>
        </is>
      </c>
      <c r="B29" s="78">
        <f>IF(B28=0,0,IF(B28&lt;1,3*B28,IF(B28&gt;=500,124,INDEX($B$122:$B$161,MATCH(B28,$A$122:$A$161,1))+(B28-INDEX($A$122:$A$161,MATCH(B28,$A$122:$A$161,1)))*(INDEX($B$122:$B$161,MATCH(B28,$A$122:$A$161,1)+1)-INDEX($B$122:$B$161,MATCH(B28,$A$122:$A$161,1)))/(INDEX($A$122:$A$161,MATCH(B28,$A$122:$A$161,1)+1)-INDEX($A$122:$A$161,MATCH(B28,$A$122:$A$161,1))))))</f>
        <v/>
      </c>
      <c r="C29" s="69" t="inlineStr">
        <is>
          <t>Table E103.3(3), flush-tank systems, interpolated - anchor table at the bottom of this sheet.</t>
        </is>
      </c>
    </row>
    <row r="30">
      <c r="A30" s="9" t="inlineStr">
        <is>
          <t>Max design velocity (ft/s)</t>
        </is>
      </c>
      <c r="B30" s="73" t="n">
        <v>8</v>
      </c>
      <c r="C30" s="69" t="inlineStr">
        <is>
          <t>8 ft/s is the usual design ceiling; 5 ft/s runs quieter.</t>
        </is>
      </c>
    </row>
    <row r="31">
      <c r="A31" s="14" t="inlineStr">
        <is>
          <t>RECOMMENDED SERVICE SIZE (Type L copper)</t>
        </is>
      </c>
      <c r="B31" s="47">
        <f>IF(B29=0,"—",IF(B29&gt;MAX($C$37:$C$44),"Larger than 3 in",INDEX($A$37:$A$44,SUMPRODUCT(--($C$37:$C$44&lt;B29))+1)))</f>
        <v/>
      </c>
    </row>
    <row r="32">
      <c r="A32" s="9" t="inlineStr">
        <is>
          <t>Water velocity in that size (ft/s)</t>
        </is>
      </c>
      <c r="B32" s="76">
        <f>IFERROR(B29/(2.448*VLOOKUP(B31,$A$37:$B$44,2,FALSE)^2),"—")</f>
        <v/>
      </c>
    </row>
    <row r="33">
      <c r="A33" s="69" t="inlineStr">
        <is>
          <t>Fixture units are the total-load values from IPC Table E103.3(2). A bathroom group counted as a group should not also be counted fixture by fixture. Flush-valve systems demand more water at the same fixture-unit count - Appendix E carries a separate, higher conversion table for them. Hot-only or cold-only branches take 3/4 of the total load per Appendix E.</t>
        </is>
      </c>
    </row>
    <row r="35">
      <c r="A35" s="14" t="inlineStr">
        <is>
          <t>Reference - Type L copper tube: inside diameter and flow capacity at your velocity</t>
        </is>
      </c>
    </row>
    <row r="36">
      <c r="A36" s="14" t="inlineStr">
        <is>
          <t>Service size</t>
        </is>
      </c>
      <c r="B36" s="14" t="inlineStr">
        <is>
          <t>Inside dia (in)</t>
        </is>
      </c>
      <c r="C36" s="14" t="inlineStr">
        <is>
          <t>Capacity at your velocity (gpm)</t>
        </is>
      </c>
    </row>
    <row r="37">
      <c r="A37" s="44" t="inlineStr">
        <is>
          <t>1/2″</t>
        </is>
      </c>
      <c r="B37" s="38" t="n">
        <v>0.545</v>
      </c>
      <c r="C37" s="75">
        <f>2.448*B37^2*$B$30</f>
        <v/>
      </c>
    </row>
    <row r="38">
      <c r="A38" s="44" t="inlineStr">
        <is>
          <t>3/4″</t>
        </is>
      </c>
      <c r="B38" s="38" t="n">
        <v>0.785</v>
      </c>
      <c r="C38" s="75">
        <f>2.448*B38^2*$B$30</f>
        <v/>
      </c>
    </row>
    <row r="39">
      <c r="A39" s="44" t="inlineStr">
        <is>
          <t>1″</t>
        </is>
      </c>
      <c r="B39" s="38" t="n">
        <v>1.025</v>
      </c>
      <c r="C39" s="75">
        <f>2.448*B39^2*$B$30</f>
        <v/>
      </c>
    </row>
    <row r="40">
      <c r="A40" s="44" t="inlineStr">
        <is>
          <t>1-1/4″</t>
        </is>
      </c>
      <c r="B40" s="38" t="n">
        <v>1.265</v>
      </c>
      <c r="C40" s="75">
        <f>2.448*B40^2*$B$30</f>
        <v/>
      </c>
    </row>
    <row r="41">
      <c r="A41" s="44" t="inlineStr">
        <is>
          <t>1-1/2″</t>
        </is>
      </c>
      <c r="B41" s="38" t="n">
        <v>1.505</v>
      </c>
      <c r="C41" s="75">
        <f>2.448*B41^2*$B$30</f>
        <v/>
      </c>
    </row>
    <row r="42">
      <c r="A42" s="44" t="inlineStr">
        <is>
          <t>2″</t>
        </is>
      </c>
      <c r="B42" s="38" t="n">
        <v>1.985</v>
      </c>
      <c r="C42" s="75">
        <f>2.448*B42^2*$B$30</f>
        <v/>
      </c>
    </row>
    <row r="43">
      <c r="A43" s="44" t="inlineStr">
        <is>
          <t>2-1/2″</t>
        </is>
      </c>
      <c r="B43" s="38" t="n">
        <v>2.465</v>
      </c>
      <c r="C43" s="75">
        <f>2.448*B43^2*$B$30</f>
        <v/>
      </c>
    </row>
    <row r="44">
      <c r="A44" s="44" t="inlineStr">
        <is>
          <t>3″</t>
        </is>
      </c>
      <c r="B44" s="38" t="n">
        <v>2.945</v>
      </c>
      <c r="C44" s="75">
        <f>2.448*B44^2*$B$30</f>
        <v/>
      </c>
    </row>
    <row r="46" ht="20" customHeight="1">
      <c r="A46" s="35" t="inlineStr">
        <is>
          <t>2 - GAS LINE SIZING - longest-length method (IFGC Table 402.4(2))</t>
        </is>
      </c>
    </row>
    <row r="47">
      <c r="A47" s="9" t="inlineStr">
        <is>
          <t>Longest run, meter to farthest appliance (ft)</t>
        </is>
      </c>
      <c r="B47" s="36" t="n">
        <v>60</v>
      </c>
      <c r="C47" s="69" t="inlineStr">
        <is>
          <t>Use a length from the table below - if yours falls between, use the next longer row.</t>
        </is>
      </c>
    </row>
    <row r="48">
      <c r="A48" s="9" t="inlineStr">
        <is>
          <t>Gas heating value (BTU per cubic foot)</t>
        </is>
      </c>
      <c r="B48" s="36" t="n">
        <v>1000</v>
      </c>
      <c r="C48" s="69" t="inlineStr">
        <is>
          <t>1,000 is the standard planning number; your utility can give the local value.</t>
        </is>
      </c>
    </row>
    <row r="49">
      <c r="A49" s="14" t="inlineStr">
        <is>
          <t>Appliances on the system (nameplate BTU/hr)</t>
        </is>
      </c>
    </row>
    <row r="50">
      <c r="A50" s="44" t="inlineStr">
        <is>
          <t>Furnace / boiler</t>
        </is>
      </c>
      <c r="B50" s="36" t="n">
        <v>80000</v>
      </c>
    </row>
    <row r="51">
      <c r="A51" s="44" t="inlineStr">
        <is>
          <t>Water heater</t>
        </is>
      </c>
      <c r="B51" s="36" t="n">
        <v>40000</v>
      </c>
    </row>
    <row r="52">
      <c r="A52" s="44" t="inlineStr">
        <is>
          <t>Range / cooktop</t>
        </is>
      </c>
      <c r="B52" s="36" t="n">
        <v>65000</v>
      </c>
    </row>
    <row r="53">
      <c r="A53" s="44" t="inlineStr">
        <is>
          <t>Clothes dryer</t>
        </is>
      </c>
      <c r="B53" s="36" t="n">
        <v>22000</v>
      </c>
    </row>
    <row r="54">
      <c r="A54" s="44" t="inlineStr">
        <is>
          <t>Gas fireplace</t>
        </is>
      </c>
      <c r="B54" s="36" t="n">
        <v>0</v>
      </c>
    </row>
    <row r="55">
      <c r="A55" s="44" t="inlineStr">
        <is>
          <t>Other appliance</t>
        </is>
      </c>
      <c r="B55" s="36" t="n">
        <v>0</v>
      </c>
    </row>
    <row r="56">
      <c r="A56" s="14" t="inlineStr">
        <is>
          <t>Total connected load (BTU/hr)</t>
        </is>
      </c>
      <c r="B56" s="46">
        <f>SUM(B50:B55)</f>
        <v/>
      </c>
    </row>
    <row r="57">
      <c r="A57" s="9" t="inlineStr">
        <is>
          <t>Required flow (cubic ft of gas per hour)</t>
        </is>
      </c>
      <c r="B57" s="75">
        <f>IF(B48&gt;0,B56/B48,0)</f>
        <v/>
      </c>
    </row>
    <row r="58">
      <c r="A58" s="14" t="inlineStr">
        <is>
          <t>SMALLEST PIPE SIZE for the full load at that run</t>
        </is>
      </c>
      <c r="B58" s="47">
        <f>IF(B57&gt;MAX($B$63:$J$63),"Bigger than 4 in - engineered sizing",INDEX($B$62:$J$62,SUMPRODUCT(--($B$63:$J$63&lt;B57))+1))</f>
        <v/>
      </c>
    </row>
    <row r="59">
      <c r="A59" s="9" t="inlineStr">
        <is>
          <t>Capacity of that size at that run (cfh)</t>
        </is>
      </c>
      <c r="B59" s="79">
        <f>IFERROR(INDEX($B$63:$J$63,SUMPRODUCT(--($B$63:$J$63&lt;B57))+1),"—")</f>
        <v/>
      </c>
    </row>
    <row r="60">
      <c r="A60" s="69" t="inlineStr">
        <is>
          <t>Longest-length method: size every section as if it were the longest run - simple, and it errs safe. The size above carries the FULL load (the main run). A branch feeding one appliance is sized from the same table with only that appliance's load and the same longest length. Table conditions: natural gas, inlet under 2 psi, 0.5 in. w.c. pressure drop, specific gravity 0.60. CSST (yellow flex) is NOT sized from this table - every brand publishes its own EHD capacity table; use the manufacturer's.</t>
        </is>
      </c>
    </row>
    <row r="61">
      <c r="A61" s="14" t="inlineStr">
        <is>
          <t>Capacity at your longest run (cfh) - pulled from the table</t>
        </is>
      </c>
    </row>
    <row r="62">
      <c r="A62" s="14" t="inlineStr"/>
      <c r="B62" s="14" t="inlineStr">
        <is>
          <t>1/2″</t>
        </is>
      </c>
      <c r="C62" s="14" t="inlineStr">
        <is>
          <t>3/4″</t>
        </is>
      </c>
      <c r="D62" s="14" t="inlineStr">
        <is>
          <t>1″</t>
        </is>
      </c>
      <c r="E62" s="14" t="inlineStr">
        <is>
          <t>1-1/4″</t>
        </is>
      </c>
      <c r="F62" s="14" t="inlineStr">
        <is>
          <t>1-1/2″</t>
        </is>
      </c>
      <c r="G62" s="14" t="inlineStr">
        <is>
          <t>2″</t>
        </is>
      </c>
      <c r="H62" s="14" t="inlineStr">
        <is>
          <t>2-1/2″</t>
        </is>
      </c>
      <c r="I62" s="14" t="inlineStr">
        <is>
          <t>3″</t>
        </is>
      </c>
      <c r="J62" s="14" t="inlineStr">
        <is>
          <t>4″</t>
        </is>
      </c>
    </row>
    <row r="63">
      <c r="A63" s="9" t="inlineStr">
        <is>
          <t>Capacity at your longest run (cfh)</t>
        </is>
      </c>
      <c r="B63" s="79">
        <f>IFERROR(INDEX(B$67:B$82,MATCH(IF(ISNUMBER(B47),B47,VALUE(B47)),$A$67:$A$82,0)),"—")</f>
        <v/>
      </c>
      <c r="C63" s="79">
        <f>IFERROR(INDEX(C$67:C$82,MATCH(IF(ISNUMBER(B47),B47,VALUE(B47)),$A$67:$A$82,0)),"—")</f>
        <v/>
      </c>
      <c r="D63" s="79">
        <f>IFERROR(INDEX(D$67:D$82,MATCH(IF(ISNUMBER(B47),B47,VALUE(B47)),$A$67:$A$82,0)),"—")</f>
        <v/>
      </c>
      <c r="E63" s="79">
        <f>IFERROR(INDEX(E$67:E$82,MATCH(IF(ISNUMBER(B47),B47,VALUE(B47)),$A$67:$A$82,0)),"—")</f>
        <v/>
      </c>
      <c r="F63" s="79">
        <f>IFERROR(INDEX(F$67:F$82,MATCH(IF(ISNUMBER(B47),B47,VALUE(B47)),$A$67:$A$82,0)),"—")</f>
        <v/>
      </c>
      <c r="G63" s="79">
        <f>IFERROR(INDEX(G$67:G$82,MATCH(IF(ISNUMBER(B47),B47,VALUE(B47)),$A$67:$A$82,0)),"—")</f>
        <v/>
      </c>
      <c r="H63" s="79">
        <f>IFERROR(INDEX(H$67:H$82,MATCH(IF(ISNUMBER(B47),B47,VALUE(B47)),$A$67:$A$82,0)),"—")</f>
        <v/>
      </c>
      <c r="I63" s="79">
        <f>IFERROR(INDEX(I$67:I$82,MATCH(IF(ISNUMBER(B47),B47,VALUE(B47)),$A$67:$A$82,0)),"—")</f>
        <v/>
      </c>
      <c r="J63" s="79">
        <f>IFERROR(INDEX(J$67:J$82,MATCH(IF(ISNUMBER(B47),B47,VALUE(B47)),$A$67:$A$82,0)),"—")</f>
        <v/>
      </c>
    </row>
    <row r="65">
      <c r="A65" s="14" t="inlineStr">
        <is>
          <t>Reference - IFGC Table 402.4(2): capacity in cubic feet per hour, Schedule 40 metallic pipe</t>
        </is>
      </c>
    </row>
    <row r="66">
      <c r="A66" s="14" t="inlineStr">
        <is>
          <t>Length (ft)</t>
        </is>
      </c>
      <c r="B66" s="14" t="inlineStr">
        <is>
          <t>1/2″</t>
        </is>
      </c>
      <c r="C66" s="14" t="inlineStr">
        <is>
          <t>3/4″</t>
        </is>
      </c>
      <c r="D66" s="14" t="inlineStr">
        <is>
          <t>1″</t>
        </is>
      </c>
      <c r="E66" s="14" t="inlineStr">
        <is>
          <t>1-1/4″</t>
        </is>
      </c>
      <c r="F66" s="14" t="inlineStr">
        <is>
          <t>1-1/2″</t>
        </is>
      </c>
      <c r="G66" s="14" t="inlineStr">
        <is>
          <t>2″</t>
        </is>
      </c>
      <c r="H66" s="14" t="inlineStr">
        <is>
          <t>2-1/2″</t>
        </is>
      </c>
      <c r="I66" s="14" t="inlineStr">
        <is>
          <t>3″</t>
        </is>
      </c>
      <c r="J66" s="14" t="inlineStr">
        <is>
          <t>4″</t>
        </is>
      </c>
    </row>
    <row r="67">
      <c r="A67" s="39" t="n">
        <v>10</v>
      </c>
      <c r="B67" s="39" t="n">
        <v>172</v>
      </c>
      <c r="C67" s="39" t="n">
        <v>360</v>
      </c>
      <c r="D67" s="39" t="n">
        <v>678</v>
      </c>
      <c r="E67" s="39" t="n">
        <v>1390</v>
      </c>
      <c r="F67" s="39" t="n">
        <v>2090</v>
      </c>
      <c r="G67" s="39" t="n">
        <v>4020</v>
      </c>
      <c r="H67" s="39" t="n">
        <v>6400</v>
      </c>
      <c r="I67" s="39" t="n">
        <v>11300</v>
      </c>
      <c r="J67" s="39" t="n">
        <v>23100</v>
      </c>
    </row>
    <row r="68">
      <c r="A68" s="39" t="n">
        <v>20</v>
      </c>
      <c r="B68" s="39" t="n">
        <v>118</v>
      </c>
      <c r="C68" s="39" t="n">
        <v>247</v>
      </c>
      <c r="D68" s="39" t="n">
        <v>466</v>
      </c>
      <c r="E68" s="39" t="n">
        <v>957</v>
      </c>
      <c r="F68" s="39" t="n">
        <v>1430</v>
      </c>
      <c r="G68" s="39" t="n">
        <v>2760</v>
      </c>
      <c r="H68" s="39" t="n">
        <v>4400</v>
      </c>
      <c r="I68" s="39" t="n">
        <v>7780</v>
      </c>
      <c r="J68" s="39" t="n">
        <v>15900</v>
      </c>
    </row>
    <row r="69">
      <c r="A69" s="39" t="n">
        <v>30</v>
      </c>
      <c r="B69" s="39" t="n">
        <v>95</v>
      </c>
      <c r="C69" s="39" t="n">
        <v>199</v>
      </c>
      <c r="D69" s="39" t="n">
        <v>374</v>
      </c>
      <c r="E69" s="39" t="n">
        <v>768</v>
      </c>
      <c r="F69" s="39" t="n">
        <v>1150</v>
      </c>
      <c r="G69" s="39" t="n">
        <v>2220</v>
      </c>
      <c r="H69" s="39" t="n">
        <v>3530</v>
      </c>
      <c r="I69" s="39" t="n">
        <v>6250</v>
      </c>
      <c r="J69" s="39" t="n">
        <v>12700</v>
      </c>
    </row>
    <row r="70">
      <c r="A70" s="39" t="n">
        <v>40</v>
      </c>
      <c r="B70" s="39" t="n">
        <v>81</v>
      </c>
      <c r="C70" s="39" t="n">
        <v>170</v>
      </c>
      <c r="D70" s="39" t="n">
        <v>320</v>
      </c>
      <c r="E70" s="39" t="n">
        <v>657</v>
      </c>
      <c r="F70" s="39" t="n">
        <v>985</v>
      </c>
      <c r="G70" s="39" t="n">
        <v>1900</v>
      </c>
      <c r="H70" s="39" t="n">
        <v>3020</v>
      </c>
      <c r="I70" s="39" t="n">
        <v>5350</v>
      </c>
      <c r="J70" s="39" t="n">
        <v>10900</v>
      </c>
    </row>
    <row r="71">
      <c r="A71" s="39" t="n">
        <v>50</v>
      </c>
      <c r="B71" s="39" t="n">
        <v>72</v>
      </c>
      <c r="C71" s="39" t="n">
        <v>151</v>
      </c>
      <c r="D71" s="39" t="n">
        <v>284</v>
      </c>
      <c r="E71" s="39" t="n">
        <v>583</v>
      </c>
      <c r="F71" s="39" t="n">
        <v>873</v>
      </c>
      <c r="G71" s="39" t="n">
        <v>1680</v>
      </c>
      <c r="H71" s="39" t="n">
        <v>2680</v>
      </c>
      <c r="I71" s="39" t="n">
        <v>4740</v>
      </c>
      <c r="J71" s="39" t="n">
        <v>9660</v>
      </c>
    </row>
    <row r="72">
      <c r="A72" s="39" t="n">
        <v>60</v>
      </c>
      <c r="B72" s="39" t="n">
        <v>65</v>
      </c>
      <c r="C72" s="39" t="n">
        <v>137</v>
      </c>
      <c r="D72" s="39" t="n">
        <v>257</v>
      </c>
      <c r="E72" s="39" t="n">
        <v>528</v>
      </c>
      <c r="F72" s="39" t="n">
        <v>791</v>
      </c>
      <c r="G72" s="39" t="n">
        <v>1520</v>
      </c>
      <c r="H72" s="39" t="n">
        <v>2430</v>
      </c>
      <c r="I72" s="39" t="n">
        <v>4290</v>
      </c>
      <c r="J72" s="39" t="n">
        <v>8760</v>
      </c>
    </row>
    <row r="73">
      <c r="A73" s="39" t="n">
        <v>70</v>
      </c>
      <c r="B73" s="39" t="n">
        <v>60</v>
      </c>
      <c r="C73" s="39" t="n">
        <v>126</v>
      </c>
      <c r="D73" s="39" t="n">
        <v>237</v>
      </c>
      <c r="E73" s="39" t="n">
        <v>486</v>
      </c>
      <c r="F73" s="39" t="n">
        <v>728</v>
      </c>
      <c r="G73" s="39" t="n">
        <v>1400</v>
      </c>
      <c r="H73" s="39" t="n">
        <v>2230</v>
      </c>
      <c r="I73" s="39" t="n">
        <v>3950</v>
      </c>
      <c r="J73" s="39" t="n">
        <v>8050</v>
      </c>
    </row>
    <row r="74">
      <c r="A74" s="39" t="n">
        <v>80</v>
      </c>
      <c r="B74" s="39" t="n">
        <v>56</v>
      </c>
      <c r="C74" s="39" t="n">
        <v>117</v>
      </c>
      <c r="D74" s="39" t="n">
        <v>220</v>
      </c>
      <c r="E74" s="39" t="n">
        <v>452</v>
      </c>
      <c r="F74" s="39" t="n">
        <v>677</v>
      </c>
      <c r="G74" s="39" t="n">
        <v>1300</v>
      </c>
      <c r="H74" s="39" t="n">
        <v>2080</v>
      </c>
      <c r="I74" s="39" t="n">
        <v>3670</v>
      </c>
      <c r="J74" s="39" t="n">
        <v>7490</v>
      </c>
    </row>
    <row r="75">
      <c r="A75" s="39" t="n">
        <v>90</v>
      </c>
      <c r="B75" s="39" t="n">
        <v>52</v>
      </c>
      <c r="C75" s="39" t="n">
        <v>110</v>
      </c>
      <c r="D75" s="39" t="n">
        <v>207</v>
      </c>
      <c r="E75" s="39" t="n">
        <v>424</v>
      </c>
      <c r="F75" s="39" t="n">
        <v>635</v>
      </c>
      <c r="G75" s="39" t="n">
        <v>1220</v>
      </c>
      <c r="H75" s="39" t="n">
        <v>1950</v>
      </c>
      <c r="I75" s="39" t="n">
        <v>3450</v>
      </c>
      <c r="J75" s="39" t="n">
        <v>7030</v>
      </c>
    </row>
    <row r="76">
      <c r="A76" s="39" t="n">
        <v>100</v>
      </c>
      <c r="B76" s="39" t="n">
        <v>50</v>
      </c>
      <c r="C76" s="39" t="n">
        <v>104</v>
      </c>
      <c r="D76" s="39" t="n">
        <v>195</v>
      </c>
      <c r="E76" s="39" t="n">
        <v>400</v>
      </c>
      <c r="F76" s="39" t="n">
        <v>600</v>
      </c>
      <c r="G76" s="39" t="n">
        <v>1160</v>
      </c>
      <c r="H76" s="39" t="n">
        <v>1840</v>
      </c>
      <c r="I76" s="39" t="n">
        <v>3260</v>
      </c>
      <c r="J76" s="39" t="n">
        <v>6640</v>
      </c>
    </row>
    <row r="77">
      <c r="A77" s="39" t="n">
        <v>125</v>
      </c>
      <c r="B77" s="39" t="n">
        <v>44</v>
      </c>
      <c r="C77" s="39" t="n">
        <v>92</v>
      </c>
      <c r="D77" s="39" t="n">
        <v>173</v>
      </c>
      <c r="E77" s="39" t="n">
        <v>355</v>
      </c>
      <c r="F77" s="39" t="n">
        <v>532</v>
      </c>
      <c r="G77" s="39" t="n">
        <v>1020</v>
      </c>
      <c r="H77" s="39" t="n">
        <v>1630</v>
      </c>
      <c r="I77" s="39" t="n">
        <v>2890</v>
      </c>
      <c r="J77" s="39" t="n">
        <v>5890</v>
      </c>
    </row>
    <row r="78">
      <c r="A78" s="39" t="n">
        <v>150</v>
      </c>
      <c r="B78" s="39" t="n">
        <v>40</v>
      </c>
      <c r="C78" s="39" t="n">
        <v>83</v>
      </c>
      <c r="D78" s="39" t="n">
        <v>157</v>
      </c>
      <c r="E78" s="39" t="n">
        <v>322</v>
      </c>
      <c r="F78" s="39" t="n">
        <v>482</v>
      </c>
      <c r="G78" s="39" t="n">
        <v>928</v>
      </c>
      <c r="H78" s="39" t="n">
        <v>1480</v>
      </c>
      <c r="I78" s="39" t="n">
        <v>2610</v>
      </c>
      <c r="J78" s="39" t="n">
        <v>5330</v>
      </c>
    </row>
    <row r="79">
      <c r="A79" s="39" t="n">
        <v>175</v>
      </c>
      <c r="B79" s="39" t="n">
        <v>37</v>
      </c>
      <c r="C79" s="39" t="n">
        <v>77</v>
      </c>
      <c r="D79" s="39" t="n">
        <v>144</v>
      </c>
      <c r="E79" s="39" t="n">
        <v>296</v>
      </c>
      <c r="F79" s="39" t="n">
        <v>443</v>
      </c>
      <c r="G79" s="39" t="n">
        <v>854</v>
      </c>
      <c r="H79" s="39" t="n">
        <v>1360</v>
      </c>
      <c r="I79" s="39" t="n">
        <v>2410</v>
      </c>
      <c r="J79" s="39" t="n">
        <v>4910</v>
      </c>
    </row>
    <row r="80">
      <c r="A80" s="39" t="n">
        <v>200</v>
      </c>
      <c r="B80" s="39" t="n">
        <v>34</v>
      </c>
      <c r="C80" s="39" t="n">
        <v>71</v>
      </c>
      <c r="D80" s="39" t="n">
        <v>134</v>
      </c>
      <c r="E80" s="39" t="n">
        <v>275</v>
      </c>
      <c r="F80" s="39" t="n">
        <v>412</v>
      </c>
      <c r="G80" s="39" t="n">
        <v>794</v>
      </c>
      <c r="H80" s="39" t="n">
        <v>1270</v>
      </c>
      <c r="I80" s="39" t="n">
        <v>2240</v>
      </c>
      <c r="J80" s="39" t="n">
        <v>4560</v>
      </c>
    </row>
    <row r="81">
      <c r="A81" s="39" t="n">
        <v>250</v>
      </c>
      <c r="B81" s="39" t="n">
        <v>30</v>
      </c>
      <c r="C81" s="39" t="n">
        <v>63</v>
      </c>
      <c r="D81" s="39" t="n">
        <v>119</v>
      </c>
      <c r="E81" s="39" t="n">
        <v>244</v>
      </c>
      <c r="F81" s="39" t="n">
        <v>366</v>
      </c>
      <c r="G81" s="39" t="n">
        <v>704</v>
      </c>
      <c r="H81" s="39" t="n">
        <v>1120</v>
      </c>
      <c r="I81" s="39" t="n">
        <v>1980</v>
      </c>
      <c r="J81" s="39" t="n">
        <v>4050</v>
      </c>
    </row>
    <row r="82">
      <c r="A82" s="39" t="n">
        <v>300</v>
      </c>
      <c r="B82" s="39" t="n">
        <v>27</v>
      </c>
      <c r="C82" s="39" t="n">
        <v>57</v>
      </c>
      <c r="D82" s="39" t="n">
        <v>108</v>
      </c>
      <c r="E82" s="39" t="n">
        <v>221</v>
      </c>
      <c r="F82" s="39" t="n">
        <v>331</v>
      </c>
      <c r="G82" s="39" t="n">
        <v>638</v>
      </c>
      <c r="H82" s="39" t="n">
        <v>1020</v>
      </c>
      <c r="I82" s="39" t="n">
        <v>1800</v>
      </c>
      <c r="J82" s="39" t="n">
        <v>3670</v>
      </c>
    </row>
    <row r="84" ht="20" customHeight="1">
      <c r="A84" s="35" t="inlineStr">
        <is>
          <t>3 - EXPANSION TANK SIZING - water heater (ASME / Watts method)</t>
        </is>
      </c>
    </row>
    <row r="85">
      <c r="A85" s="9" t="inlineStr">
        <is>
          <t>Water heater size (gal)</t>
        </is>
      </c>
      <c r="B85" s="36" t="n">
        <v>50</v>
      </c>
    </row>
    <row r="86">
      <c r="A86" s="9" t="inlineStr">
        <is>
          <t>Incoming water temperature (deg F)</t>
        </is>
      </c>
      <c r="B86" s="36" t="n">
        <v>50</v>
      </c>
      <c r="C86" s="69" t="inlineStr">
        <is>
          <t>Use a temperature from the density table below.</t>
        </is>
      </c>
    </row>
    <row r="87">
      <c r="A87" s="9" t="inlineStr">
        <is>
          <t>Heated water temperature (deg F)</t>
        </is>
      </c>
      <c r="B87" s="36" t="n">
        <v>140</v>
      </c>
    </row>
    <row r="88">
      <c r="A88" s="9" t="inlineStr">
        <is>
          <t>Water density, cold (lb/cu ft)</t>
        </is>
      </c>
      <c r="B88" s="81">
        <f>IFERROR(INDEX($B$165:$B$177,MATCH(IF(ISNUMBER(B86),B86,VALUE(B86)),$A$165:$A$177,0)),"—")</f>
        <v/>
      </c>
    </row>
    <row r="89">
      <c r="A89" s="9" t="inlineStr">
        <is>
          <t>Water density, hot (lb/cu ft)</t>
        </is>
      </c>
      <c r="B89" s="81">
        <f>IFERROR(INDEX($B$165:$B$177,MATCH(IF(ISNUMBER(B87),B87,VALUE(B87)),$A$165:$A$177,0)),"—")</f>
        <v/>
      </c>
    </row>
    <row r="90">
      <c r="A90" s="9" t="inlineStr">
        <is>
          <t>Water expansion from heating</t>
        </is>
      </c>
      <c r="B90" s="74">
        <f>IF(B89&gt;0,B88/B89-1,0)</f>
        <v/>
      </c>
    </row>
    <row r="91">
      <c r="A91" s="9" t="inlineStr">
        <is>
          <t>Expanded water the tank must absorb (gal)</t>
        </is>
      </c>
      <c r="B91" s="38">
        <f>B85*B90</f>
        <v/>
      </c>
    </row>
    <row r="92">
      <c r="A92" s="9" t="inlineStr">
        <is>
          <t>Street / static pressure (psi)</t>
        </is>
      </c>
      <c r="B92" s="36" t="n">
        <v>60</v>
      </c>
    </row>
    <row r="93">
      <c r="A93" s="9" t="inlineStr">
        <is>
          <t>Tank pre-charge (psi) - set equal to static pressure</t>
        </is>
      </c>
      <c r="B93" s="39">
        <f>B92</f>
        <v/>
      </c>
    </row>
    <row r="94">
      <c r="A94" s="9" t="inlineStr">
        <is>
          <t>Max pressure allowed (psi)</t>
        </is>
      </c>
      <c r="B94" s="36" t="n">
        <v>135</v>
      </c>
      <c r="C94" s="69" t="inlineStr">
        <is>
          <t>The relief valve is 150 psi; 135 leaves a working margin.</t>
        </is>
      </c>
    </row>
    <row r="95">
      <c r="A95" s="9" t="inlineStr">
        <is>
          <t>Acceptance factor</t>
        </is>
      </c>
      <c r="B95" s="38">
        <f>1-(B93+14.7)/(B94+14.7)</f>
        <v/>
      </c>
    </row>
    <row r="96">
      <c r="A96" s="9" t="inlineStr">
        <is>
          <t>Tank volume required (gal)</t>
        </is>
      </c>
      <c r="B96" s="38">
        <f>IF(B95&gt;0,B91/B95,0)</f>
        <v/>
      </c>
    </row>
    <row r="97">
      <c r="A97" s="14" t="inlineStr">
        <is>
          <t>SMALLEST STANDARD TANK (gal, total volume)</t>
        </is>
      </c>
      <c r="B97" s="78">
        <f>IF(B96&gt;MAX($A$181:$A$191),"Larger than 81 gal",INDEX($A$181:$A$191,SUMPRODUCT(--($A$181:$A$191&lt;B96))+1))</f>
        <v/>
      </c>
    </row>
    <row r="98">
      <c r="A98" s="69" t="inlineStr">
        <is>
          <t>Method (the ASME / Watts sizing method): expanded water = heater gallons x the density change; required tank = expanded water / acceptance factor, where acceptance = 1 - (pre-charge + 14.7) / (max pressure + 14.7). Pre-charge the tank to street pressure with the system drained down. This is for a closed system (check valve or PRV on the service) - an open system does not need the tank.</t>
        </is>
      </c>
    </row>
    <row r="100" ht="20" customHeight="1">
      <c r="A100" s="35" t="inlineStr">
        <is>
          <t>4 - SUMP &amp; SEWAGE PUMP - ESTIMATOR (basin cycling + total head)</t>
        </is>
      </c>
    </row>
    <row r="101">
      <c r="A101" s="9" t="inlineStr">
        <is>
          <t>Basin diameter (in)</t>
        </is>
      </c>
      <c r="B101" s="73" t="n">
        <v>18</v>
      </c>
    </row>
    <row r="102">
      <c r="A102" s="9" t="inlineStr">
        <is>
          <t>Gallons per inch of basin depth</t>
        </is>
      </c>
      <c r="B102" s="38">
        <f>PI()*B101^2/4/231</f>
        <v/>
      </c>
    </row>
    <row r="103">
      <c r="A103" s="9" t="inlineStr">
        <is>
          <t>Drawdown - pump-on level to pump-off level (in)</t>
        </is>
      </c>
      <c r="B103" s="73" t="n">
        <v>12</v>
      </c>
    </row>
    <row r="104">
      <c r="A104" s="9" t="inlineStr">
        <is>
          <t>Water pumped per cycle (gal)</t>
        </is>
      </c>
      <c r="B104" s="75">
        <f>B102*B103</f>
        <v/>
      </c>
    </row>
    <row r="105">
      <c r="A105" s="9" t="inlineStr">
        <is>
          <t>Estimated inflow (gpm)</t>
        </is>
      </c>
      <c r="B105" s="73" t="n">
        <v>10</v>
      </c>
      <c r="C105" s="69" t="inlineStr">
        <is>
          <t>Footing-drain flow in a wet season is the guess that matters - measure it with a bucket if you can.</t>
        </is>
      </c>
    </row>
    <row r="106">
      <c r="A106" s="9" t="inlineStr">
        <is>
          <t>Pump capacity (gpm, from its curve)</t>
        </is>
      </c>
      <c r="B106" s="36" t="n">
        <v>40</v>
      </c>
    </row>
    <row r="107">
      <c r="A107" s="9" t="inlineStr">
        <is>
          <t>Vertical lift - basin water level to discharge point (ft)</t>
        </is>
      </c>
      <c r="B107" s="73" t="n">
        <v>10</v>
      </c>
    </row>
    <row r="108">
      <c r="A108" s="9" t="inlineStr">
        <is>
          <t>Discharge pipe length (ft)</t>
        </is>
      </c>
      <c r="B108" s="36" t="n">
        <v>30</v>
      </c>
    </row>
    <row r="109">
      <c r="A109" s="9" t="inlineStr">
        <is>
          <t>Discharge pipe size</t>
        </is>
      </c>
      <c r="B109" s="37" t="inlineStr">
        <is>
          <t>2″ PVC</t>
        </is>
      </c>
    </row>
    <row r="110">
      <c r="A110" s="9" t="inlineStr">
        <is>
          <t>Pipe inside diameter (in)</t>
        </is>
      </c>
      <c r="B110" s="38">
        <f>IF(B109="1-1/4″ PVC",1.38,IF(B109="1-1/2″ PVC",1.61,2.067))</f>
        <v/>
      </c>
    </row>
    <row r="111">
      <c r="A111" s="9" t="inlineStr">
        <is>
          <t>Pipe roughness - Hazen-Williams C</t>
        </is>
      </c>
      <c r="B111" s="36" t="n">
        <v>140</v>
      </c>
      <c r="C111" s="69" t="inlineStr">
        <is>
          <t>140 for plastic pipe; 100-120 for older metal.</t>
        </is>
      </c>
    </row>
    <row r="112">
      <c r="A112" s="9" t="inlineStr">
        <is>
          <t>Friction loss (ft of head)</t>
        </is>
      </c>
      <c r="B112" s="38">
        <f>0.002083*B108*(100/B111)^1.852*B106^1.852/B110^4.8655</f>
        <v/>
      </c>
    </row>
    <row r="113">
      <c r="A113" s="14" t="inlineStr">
        <is>
          <t>TOTAL DYNAMIC HEAD (ft)</t>
        </is>
      </c>
      <c r="B113" s="78">
        <f>B107+B112</f>
        <v/>
      </c>
      <c r="C113" s="69" t="inlineStr">
        <is>
          <t>Read the pump curve AT this head - if its gpm there differs from what you typed, type that number in and the head settles.</t>
        </is>
      </c>
    </row>
    <row r="114">
      <c r="A114" s="9" t="inlineStr">
        <is>
          <t>Run time per cycle (min)</t>
        </is>
      </c>
      <c r="B114" s="38">
        <f>IF(B106&gt;B105,B104/(B106-B105),0)</f>
        <v/>
      </c>
    </row>
    <row r="115">
      <c r="A115" s="9" t="inlineStr">
        <is>
          <t>Fill time per cycle (min)</t>
        </is>
      </c>
      <c r="B115" s="38">
        <f>IF(B105&gt;0,B104/B105,0)</f>
        <v/>
      </c>
    </row>
    <row r="116">
      <c r="A116" s="9" t="inlineStr">
        <is>
          <t>Cycles per hour</t>
        </is>
      </c>
      <c r="B116" s="75">
        <f>IF((B114+B115)&gt;0,60/(B114+B115),0)</f>
        <v/>
      </c>
    </row>
    <row r="117">
      <c r="A117" s="14">
        <f>IF(B116&gt;12,"Short-cycling - the pump starts too often. Bigger basin, more drawdown, or a smaller pump.",IF(B116&lt;1,"Long rests between cycles - easy on the pump; on sewage, do not let waste sit and go septic.","Healthy cycling range for most pumps."))</f>
        <v/>
      </c>
    </row>
    <row r="118">
      <c r="A118" s="69" t="inlineStr">
        <is>
          <t>ESTIMATOR. Friction loss uses the Hazen-Williams formula. Fittings add friction too - a check valve and a couple of elbows act like extra feet of pipe; add their equivalent length to the pipe length if the run is fitting-heavy. Sewage ejectors run the same math with a solids-handling pump and a bigger basin (30 gallons is the common code minimum working volume - IPC 712).</t>
        </is>
      </c>
    </row>
    <row r="120">
      <c r="A120" s="14" t="inlineStr">
        <is>
          <t>Reference - Table E103.3(3) anchors: WSFU to estimated demand (flush-tank systems)</t>
        </is>
      </c>
    </row>
    <row r="121">
      <c r="A121" s="14" t="inlineStr">
        <is>
          <t>Total WSFU</t>
        </is>
      </c>
      <c r="B121" s="14" t="inlineStr">
        <is>
          <t>Demand (gpm)</t>
        </is>
      </c>
    </row>
    <row r="122">
      <c r="A122" s="39" t="n">
        <v>1</v>
      </c>
      <c r="B122" s="75" t="n">
        <v>3</v>
      </c>
    </row>
    <row r="123">
      <c r="A123" s="39" t="n">
        <v>2</v>
      </c>
      <c r="B123" s="75" t="n">
        <v>5</v>
      </c>
    </row>
    <row r="124">
      <c r="A124" s="39" t="n">
        <v>3</v>
      </c>
      <c r="B124" s="75" t="n">
        <v>6.5</v>
      </c>
    </row>
    <row r="125">
      <c r="A125" s="39" t="n">
        <v>4</v>
      </c>
      <c r="B125" s="75" t="n">
        <v>8</v>
      </c>
    </row>
    <row r="126">
      <c r="A126" s="39" t="n">
        <v>5</v>
      </c>
      <c r="B126" s="75" t="n">
        <v>9.4</v>
      </c>
    </row>
    <row r="127">
      <c r="A127" s="39" t="n">
        <v>6</v>
      </c>
      <c r="B127" s="75" t="n">
        <v>10.7</v>
      </c>
    </row>
    <row r="128">
      <c r="A128" s="39" t="n">
        <v>7</v>
      </c>
      <c r="B128" s="75" t="n">
        <v>11.8</v>
      </c>
    </row>
    <row r="129">
      <c r="A129" s="39" t="n">
        <v>8</v>
      </c>
      <c r="B129" s="75" t="n">
        <v>12.8</v>
      </c>
    </row>
    <row r="130">
      <c r="A130" s="39" t="n">
        <v>9</v>
      </c>
      <c r="B130" s="75" t="n">
        <v>13.7</v>
      </c>
    </row>
    <row r="131">
      <c r="A131" s="39" t="n">
        <v>10</v>
      </c>
      <c r="B131" s="75" t="n">
        <v>14.6</v>
      </c>
    </row>
    <row r="132">
      <c r="A132" s="39" t="n">
        <v>11</v>
      </c>
      <c r="B132" s="75" t="n">
        <v>15.4</v>
      </c>
    </row>
    <row r="133">
      <c r="A133" s="39" t="n">
        <v>12</v>
      </c>
      <c r="B133" s="75" t="n">
        <v>16</v>
      </c>
    </row>
    <row r="134">
      <c r="A134" s="39" t="n">
        <v>13</v>
      </c>
      <c r="B134" s="75" t="n">
        <v>16.5</v>
      </c>
    </row>
    <row r="135">
      <c r="A135" s="39" t="n">
        <v>14</v>
      </c>
      <c r="B135" s="75" t="n">
        <v>17</v>
      </c>
    </row>
    <row r="136">
      <c r="A136" s="39" t="n">
        <v>15</v>
      </c>
      <c r="B136" s="75" t="n">
        <v>17.5</v>
      </c>
    </row>
    <row r="137">
      <c r="A137" s="39" t="n">
        <v>16</v>
      </c>
      <c r="B137" s="75" t="n">
        <v>18</v>
      </c>
    </row>
    <row r="138">
      <c r="A138" s="39" t="n">
        <v>17</v>
      </c>
      <c r="B138" s="75" t="n">
        <v>18.4</v>
      </c>
    </row>
    <row r="139">
      <c r="A139" s="39" t="n">
        <v>18</v>
      </c>
      <c r="B139" s="75" t="n">
        <v>18.8</v>
      </c>
    </row>
    <row r="140">
      <c r="A140" s="39" t="n">
        <v>19</v>
      </c>
      <c r="B140" s="75" t="n">
        <v>19.2</v>
      </c>
    </row>
    <row r="141">
      <c r="A141" s="39" t="n">
        <v>20</v>
      </c>
      <c r="B141" s="75" t="n">
        <v>19.6</v>
      </c>
    </row>
    <row r="142">
      <c r="A142" s="39" t="n">
        <v>25</v>
      </c>
      <c r="B142" s="75" t="n">
        <v>21.5</v>
      </c>
    </row>
    <row r="143">
      <c r="A143" s="39" t="n">
        <v>30</v>
      </c>
      <c r="B143" s="75" t="n">
        <v>23.3</v>
      </c>
    </row>
    <row r="144">
      <c r="A144" s="39" t="n">
        <v>35</v>
      </c>
      <c r="B144" s="75" t="n">
        <v>24.9</v>
      </c>
    </row>
    <row r="145">
      <c r="A145" s="39" t="n">
        <v>40</v>
      </c>
      <c r="B145" s="75" t="n">
        <v>26.3</v>
      </c>
    </row>
    <row r="146">
      <c r="A146" s="39" t="n">
        <v>45</v>
      </c>
      <c r="B146" s="75" t="n">
        <v>27.7</v>
      </c>
    </row>
    <row r="147">
      <c r="A147" s="39" t="n">
        <v>50</v>
      </c>
      <c r="B147" s="75" t="n">
        <v>29.1</v>
      </c>
    </row>
    <row r="148">
      <c r="A148" s="39" t="n">
        <v>60</v>
      </c>
      <c r="B148" s="75" t="n">
        <v>32</v>
      </c>
    </row>
    <row r="149">
      <c r="A149" s="39" t="n">
        <v>70</v>
      </c>
      <c r="B149" s="75" t="n">
        <v>35</v>
      </c>
    </row>
    <row r="150">
      <c r="A150" s="39" t="n">
        <v>80</v>
      </c>
      <c r="B150" s="75" t="n">
        <v>38</v>
      </c>
    </row>
    <row r="151">
      <c r="A151" s="39" t="n">
        <v>90</v>
      </c>
      <c r="B151" s="75" t="n">
        <v>41</v>
      </c>
    </row>
    <row r="152">
      <c r="A152" s="39" t="n">
        <v>100</v>
      </c>
      <c r="B152" s="75" t="n">
        <v>43.5</v>
      </c>
    </row>
    <row r="153">
      <c r="A153" s="39" t="n">
        <v>120</v>
      </c>
      <c r="B153" s="75" t="n">
        <v>48</v>
      </c>
    </row>
    <row r="154">
      <c r="A154" s="39" t="n">
        <v>140</v>
      </c>
      <c r="B154" s="75" t="n">
        <v>52.5</v>
      </c>
    </row>
    <row r="155">
      <c r="A155" s="39" t="n">
        <v>160</v>
      </c>
      <c r="B155" s="75" t="n">
        <v>57</v>
      </c>
    </row>
    <row r="156">
      <c r="A156" s="39" t="n">
        <v>180</v>
      </c>
      <c r="B156" s="75" t="n">
        <v>61</v>
      </c>
    </row>
    <row r="157">
      <c r="A157" s="39" t="n">
        <v>200</v>
      </c>
      <c r="B157" s="75" t="n">
        <v>65</v>
      </c>
    </row>
    <row r="158">
      <c r="A158" s="39" t="n">
        <v>250</v>
      </c>
      <c r="B158" s="75" t="n">
        <v>75</v>
      </c>
    </row>
    <row r="159">
      <c r="A159" s="39" t="n">
        <v>300</v>
      </c>
      <c r="B159" s="75" t="n">
        <v>85</v>
      </c>
    </row>
    <row r="160">
      <c r="A160" s="39" t="n">
        <v>400</v>
      </c>
      <c r="B160" s="75" t="n">
        <v>105</v>
      </c>
    </row>
    <row r="161">
      <c r="A161" s="39" t="n">
        <v>500</v>
      </c>
      <c r="B161" s="75" t="n">
        <v>124</v>
      </c>
    </row>
    <row r="163">
      <c r="A163" s="14" t="inlineStr">
        <is>
          <t>Reference - water density by temperature (lb per cubic foot)</t>
        </is>
      </c>
    </row>
    <row r="164">
      <c r="A164" s="14" t="inlineStr">
        <is>
          <t>Temperature (deg F)</t>
        </is>
      </c>
      <c r="B164" s="14" t="inlineStr">
        <is>
          <t>Density</t>
        </is>
      </c>
    </row>
    <row r="165">
      <c r="A165" s="39" t="n">
        <v>40</v>
      </c>
      <c r="B165" s="38" t="n">
        <v>62.43</v>
      </c>
    </row>
    <row r="166">
      <c r="A166" s="39" t="n">
        <v>50</v>
      </c>
      <c r="B166" s="38" t="n">
        <v>62.41</v>
      </c>
    </row>
    <row r="167">
      <c r="A167" s="39" t="n">
        <v>60</v>
      </c>
      <c r="B167" s="38" t="n">
        <v>62.37</v>
      </c>
    </row>
    <row r="168">
      <c r="A168" s="39" t="n">
        <v>70</v>
      </c>
      <c r="B168" s="38" t="n">
        <v>62.3</v>
      </c>
    </row>
    <row r="169">
      <c r="A169" s="39" t="n">
        <v>80</v>
      </c>
      <c r="B169" s="38" t="n">
        <v>62.22</v>
      </c>
    </row>
    <row r="170">
      <c r="A170" s="39" t="n">
        <v>90</v>
      </c>
      <c r="B170" s="38" t="n">
        <v>62.11</v>
      </c>
    </row>
    <row r="171">
      <c r="A171" s="39" t="n">
        <v>100</v>
      </c>
      <c r="B171" s="38" t="n">
        <v>61.99</v>
      </c>
    </row>
    <row r="172">
      <c r="A172" s="39" t="n">
        <v>110</v>
      </c>
      <c r="B172" s="38" t="n">
        <v>61.86</v>
      </c>
    </row>
    <row r="173">
      <c r="A173" s="39" t="n">
        <v>120</v>
      </c>
      <c r="B173" s="38" t="n">
        <v>61.71</v>
      </c>
    </row>
    <row r="174">
      <c r="A174" s="39" t="n">
        <v>130</v>
      </c>
      <c r="B174" s="38" t="n">
        <v>61.55</v>
      </c>
    </row>
    <row r="175">
      <c r="A175" s="39" t="n">
        <v>140</v>
      </c>
      <c r="B175" s="38" t="n">
        <v>61.38</v>
      </c>
    </row>
    <row r="176">
      <c r="A176" s="39" t="n">
        <v>150</v>
      </c>
      <c r="B176" s="38" t="n">
        <v>61.19</v>
      </c>
    </row>
    <row r="177">
      <c r="A177" s="39" t="n">
        <v>160</v>
      </c>
      <c r="B177" s="38" t="n">
        <v>61</v>
      </c>
    </row>
    <row r="179">
      <c r="A179" s="14" t="inlineStr">
        <is>
          <t>Reference - standard expansion-tank sizes (gal, total volume)</t>
        </is>
      </c>
    </row>
    <row r="180">
      <c r="A180" s="14" t="inlineStr">
        <is>
          <t>Tank size (gal)</t>
        </is>
      </c>
    </row>
    <row r="181">
      <c r="A181" s="75" t="n">
        <v>2.1</v>
      </c>
    </row>
    <row r="182">
      <c r="A182" s="75" t="n">
        <v>4.5</v>
      </c>
    </row>
    <row r="183">
      <c r="A183" s="75" t="n">
        <v>8</v>
      </c>
    </row>
    <row r="184">
      <c r="A184" s="75" t="n">
        <v>11</v>
      </c>
    </row>
    <row r="185">
      <c r="A185" s="75" t="n">
        <v>14</v>
      </c>
    </row>
    <row r="186">
      <c r="A186" s="75" t="n">
        <v>20</v>
      </c>
    </row>
    <row r="187">
      <c r="A187" s="75" t="n">
        <v>26</v>
      </c>
    </row>
    <row r="188">
      <c r="A188" s="75" t="n">
        <v>33</v>
      </c>
    </row>
    <row r="189">
      <c r="A189" s="75" t="n">
        <v>44</v>
      </c>
    </row>
    <row r="190">
      <c r="A190" s="75" t="n">
        <v>62</v>
      </c>
    </row>
    <row r="191">
      <c r="A191" s="75" t="n">
        <v>81</v>
      </c>
    </row>
    <row r="193">
      <c r="A193" s="69" t="inlineStr">
        <is>
          <t>Tables on this sheet: IPC Appendix E, Table E103.3(2) (fixture-unit load values) and Table E103.3(3) (estimated demand, flush-tank systems); IFGC Table 402.4(2) (gas capacity, Schedule 40 metallic pipe); Type L copper inside diameters per ASTM B88; water density per standard steam-table values; expansion-tank method per ASME / Watts sizing practice.</t>
        </is>
      </c>
    </row>
  </sheetData>
  <mergeCells count="12">
    <mergeCell ref="A1:J1"/>
    <mergeCell ref="A117:J117"/>
    <mergeCell ref="A46:J46"/>
    <mergeCell ref="A84:J84"/>
    <mergeCell ref="A118:J118"/>
    <mergeCell ref="A98:J98"/>
    <mergeCell ref="A193:J193"/>
    <mergeCell ref="A100:J100"/>
    <mergeCell ref="A4:J4"/>
    <mergeCell ref="A2:J2"/>
    <mergeCell ref="A60:J60"/>
    <mergeCell ref="A33:J33"/>
  </mergeCells>
  <dataValidations count="1">
    <dataValidation sqref="B109" showDropDown="0" showInputMessage="0" showErrorMessage="0" allowBlank="0" type="list">
      <formula1>"1-1/4″ PVC,1-1/2″ PVC,2″ PVC"</formula1>
    </dataValidation>
  </dataValidations>
  <pageMargins left="0.75" right="0.75" top="1" bottom="1" header="0.5" footer="0.5"/>
  <pageSetup orientation="portrait" fitToWidth="1"/>
  <headerFooter>
    <oddHeader>&amp;C&amp;11 Highway 38 Solutions</oddHeader>
    <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outlinePr summaryBelow="1" summaryRight="1"/>
    <pageSetUpPr fitToPage="1"/>
  </sheetPr>
  <dimension ref="A1:F73"/>
  <sheetViews>
    <sheetView workbookViewId="0">
      <selection activeCell="A1" sqref="A1"/>
    </sheetView>
  </sheetViews>
  <sheetFormatPr baseColWidth="8" defaultRowHeight="15"/>
  <cols>
    <col width="42" customWidth="1" min="1" max="1"/>
    <col width="18" customWidth="1" min="2" max="2"/>
    <col width="62" customWidth="1" min="3" max="3"/>
    <col width="15" customWidth="1" min="4" max="4"/>
    <col width="15" customWidth="1" min="5" max="5"/>
    <col width="15" customWidth="1" min="6" max="6"/>
  </cols>
  <sheetData>
    <row r="1" ht="24" customHeight="1">
      <c r="A1" s="6" t="inlineStr">
        <is>
          <t>HVAC - Duct CFM, tonnage sizing, SEER savings &amp; duct chart</t>
        </is>
      </c>
    </row>
    <row r="2">
      <c r="A2" s="7" t="inlineStr">
        <is>
          <t>The trade tools: the CFM a room needs and the duct that carries it, rule-of-thumb tonnage, and what a higher-SEER unit saves. The shared business kit is on the Standard sheet, same as the app shows it on every tab.</t>
        </is>
      </c>
    </row>
    <row r="4" ht="20" customHeight="1">
      <c r="A4" s="8" t="inlineStr">
        <is>
          <t>DUCT SIZING - CFM for a room</t>
        </is>
      </c>
    </row>
    <row r="5">
      <c r="A5" s="9" t="inlineStr">
        <is>
          <t>Room</t>
        </is>
      </c>
      <c r="B5" s="23" t="inlineStr">
        <is>
          <t>Living / family room</t>
        </is>
      </c>
      <c r="C5" s="24" t="inlineStr">
        <is>
          <t>Pick from the dropdown - air changes per hour from the table below</t>
        </is>
      </c>
    </row>
    <row r="6">
      <c r="A6" s="9" t="inlineStr">
        <is>
          <t>Floor area (sq ft)</t>
        </is>
      </c>
      <c r="B6" s="10" t="n">
        <v>200</v>
      </c>
    </row>
    <row r="7">
      <c r="A7" s="9" t="inlineStr">
        <is>
          <t>Ceiling height (ft)</t>
        </is>
      </c>
      <c r="B7" s="18" t="n">
        <v>8</v>
      </c>
    </row>
    <row r="8">
      <c r="A8" s="9" t="inlineStr">
        <is>
          <t>Duct velocity</t>
        </is>
      </c>
      <c r="B8" s="23" t="inlineStr">
        <is>
          <t>600 fpm - typical supply</t>
        </is>
      </c>
      <c r="C8" s="24" t="inlineStr">
        <is>
          <t>Pick from the dropdown - values from the table below</t>
        </is>
      </c>
    </row>
    <row r="9">
      <c r="A9" s="9" t="inlineStr">
        <is>
          <t>Air changes per hour (from table)</t>
        </is>
      </c>
      <c r="B9" s="20">
        <f>VLOOKUP(B5,$A$18:$B$21,2,FALSE)</f>
        <v/>
      </c>
    </row>
    <row r="10">
      <c r="A10" s="9" t="inlineStr">
        <is>
          <t>Velocity used (fpm)</t>
        </is>
      </c>
      <c r="B10" s="20">
        <f>VLOOKUP(B8,$A$24:$B$27,2,FALSE)</f>
        <v/>
      </c>
    </row>
    <row r="11">
      <c r="A11" s="14" t="inlineStr">
        <is>
          <t>AIRFLOW NEEDED (CFM)</t>
        </is>
      </c>
      <c r="B11" s="26">
        <f>B6*B7*B9/60</f>
        <v/>
      </c>
    </row>
    <row r="12">
      <c r="A12" s="9" t="inlineStr">
        <is>
          <t>Duct area at that velocity (sq in)</t>
        </is>
      </c>
      <c r="B12" s="33">
        <f>IF(B10&gt;0,B11/B10*144,0)</f>
        <v/>
      </c>
    </row>
    <row r="13">
      <c r="A13" s="9" t="inlineStr">
        <is>
          <t>Round duct diameter (in)</t>
        </is>
      </c>
      <c r="B13" s="33">
        <f>SQRT(4*B12/PI())</f>
        <v/>
      </c>
    </row>
    <row r="14">
      <c r="A14" s="9" t="inlineStr">
        <is>
          <t>Round up to (in round duct)</t>
        </is>
      </c>
      <c r="B14" s="20">
        <f>CEILING(B13,1)</f>
        <v/>
      </c>
    </row>
    <row r="16" ht="28" customHeight="1">
      <c r="A16" s="17" t="inlineStr">
        <is>
          <t>Rule-of-thumb supply sizing by air changes - sanity-check it against the system total: about 400 CFM per ton. Final duct design follows Manual D; an undersized return is the callback this prevents.</t>
        </is>
      </c>
    </row>
    <row r="17">
      <c r="A17" s="14" t="inlineStr">
        <is>
          <t>Reference - air changes per hour by room</t>
        </is>
      </c>
    </row>
    <row r="18">
      <c r="A18" s="30" t="inlineStr">
        <is>
          <t>Living / family room</t>
        </is>
      </c>
      <c r="B18" s="30" t="n">
        <v>6</v>
      </c>
    </row>
    <row r="19">
      <c r="A19" s="30" t="inlineStr">
        <is>
          <t>Bedroom</t>
        </is>
      </c>
      <c r="B19" s="30" t="n">
        <v>5</v>
      </c>
    </row>
    <row r="20">
      <c r="A20" s="30" t="inlineStr">
        <is>
          <t>Kitchen</t>
        </is>
      </c>
      <c r="B20" s="30" t="n">
        <v>8</v>
      </c>
    </row>
    <row r="21">
      <c r="A21" s="30" t="inlineStr">
        <is>
          <t>Bathroom</t>
        </is>
      </c>
      <c r="B21" s="30" t="n">
        <v>8</v>
      </c>
    </row>
    <row r="23">
      <c r="A23" s="14" t="inlineStr">
        <is>
          <t>Reference - duct velocities (fpm)</t>
        </is>
      </c>
    </row>
    <row r="24">
      <c r="A24" s="30" t="inlineStr">
        <is>
          <t>500 fpm - quiet (bedrooms)</t>
        </is>
      </c>
      <c r="B24" s="30" t="n">
        <v>500</v>
      </c>
    </row>
    <row r="25">
      <c r="A25" s="30" t="inlineStr">
        <is>
          <t>600 fpm - typical supply</t>
        </is>
      </c>
      <c r="B25" s="30" t="n">
        <v>600</v>
      </c>
    </row>
    <row r="26">
      <c r="A26" s="30" t="inlineStr">
        <is>
          <t>700 fpm</t>
        </is>
      </c>
      <c r="B26" s="30" t="n">
        <v>700</v>
      </c>
    </row>
    <row r="27">
      <c r="A27" s="30" t="inlineStr">
        <is>
          <t>900 fpm - trunk / max flex</t>
        </is>
      </c>
      <c r="B27" s="30" t="n">
        <v>900</v>
      </c>
    </row>
    <row r="30" ht="20" customHeight="1">
      <c r="A30" s="35" t="inlineStr">
        <is>
          <t>TONNAGE SIZING - rule-of-thumb cooling size</t>
        </is>
      </c>
    </row>
    <row r="31">
      <c r="A31" s="9" t="inlineStr">
        <is>
          <t>Floor area (sq ft)</t>
        </is>
      </c>
      <c r="B31" s="36" t="n">
        <v>1800</v>
      </c>
    </row>
    <row r="32">
      <c r="A32" s="9" t="inlineStr">
        <is>
          <t>Load factor</t>
        </is>
      </c>
      <c r="B32" s="37" t="inlineStr">
        <is>
          <t>25 - average home</t>
        </is>
      </c>
      <c r="C32" s="9" t="inlineStr">
        <is>
          <t>Pick from the dropdown - BTU per sq ft, table below</t>
        </is>
      </c>
    </row>
    <row r="33">
      <c r="A33" s="9" t="inlineStr">
        <is>
          <t>Load factor used (BTU per sq ft)</t>
        </is>
      </c>
      <c r="B33" s="39">
        <f>VLOOKUP(B32,$A$40:$B$43,2,FALSE)</f>
        <v/>
      </c>
    </row>
    <row r="34">
      <c r="A34" s="14" t="inlineStr">
        <is>
          <t>COOLING LOAD (BTU/h)</t>
        </is>
      </c>
      <c r="B34" s="46">
        <f>B31*B33</f>
        <v/>
      </c>
    </row>
    <row r="35">
      <c r="A35" s="9" t="inlineStr">
        <is>
          <t>Exact tons</t>
        </is>
      </c>
      <c r="B35" s="38">
        <f>B34/12000</f>
        <v/>
      </c>
    </row>
    <row r="36">
      <c r="A36" s="14" t="inlineStr">
        <is>
          <t>EQUIPMENT SIZE (tons)</t>
        </is>
      </c>
      <c r="B36" s="50">
        <f>CEILING(B35,0.5)</f>
        <v/>
      </c>
    </row>
    <row r="38" ht="28" customHeight="1">
      <c r="A38" s="43" t="inlineStr">
        <is>
          <t>Rule of thumb for a first conversation and a sanity check - a Manual J load calculation is the number you install on. Oversizing is the quiet callback: short cycles, clammy air, dead compressors.</t>
        </is>
      </c>
    </row>
    <row r="39">
      <c r="A39" s="14" t="inlineStr">
        <is>
          <t>Reference - load factors (BTU per sq ft)</t>
        </is>
      </c>
    </row>
    <row r="40">
      <c r="A40" s="44" t="inlineStr">
        <is>
          <t>20 - mild / tight newer home</t>
        </is>
      </c>
      <c r="B40" s="39" t="n">
        <v>20</v>
      </c>
    </row>
    <row r="41">
      <c r="A41" s="44" t="inlineStr">
        <is>
          <t>25 - average home</t>
        </is>
      </c>
      <c r="B41" s="39" t="n">
        <v>25</v>
      </c>
    </row>
    <row r="42">
      <c r="A42" s="44" t="inlineStr">
        <is>
          <t>30 - hot / older leaky home</t>
        </is>
      </c>
      <c r="B42" s="39" t="n">
        <v>30</v>
      </c>
    </row>
    <row r="43">
      <c r="A43" s="44" t="inlineStr">
        <is>
          <t>35 - very hot / poor insulation</t>
        </is>
      </c>
      <c r="B43" s="39" t="n">
        <v>35</v>
      </c>
    </row>
    <row r="45" ht="20" customHeight="1">
      <c r="A45" s="35" t="inlineStr">
        <is>
          <t>SEER SAVINGS - what a higher-SEER unit saves each season</t>
        </is>
      </c>
    </row>
    <row r="46">
      <c r="A46" s="9" t="inlineStr">
        <is>
          <t>System size (tons)</t>
        </is>
      </c>
      <c r="B46" s="36" t="n">
        <v>3</v>
      </c>
    </row>
    <row r="47">
      <c r="A47" s="9" t="inlineStr">
        <is>
          <t>Current SEER</t>
        </is>
      </c>
      <c r="B47" s="36" t="n">
        <v>10</v>
      </c>
    </row>
    <row r="48">
      <c r="A48" s="9" t="inlineStr">
        <is>
          <t>New SEER</t>
        </is>
      </c>
      <c r="B48" s="36" t="n">
        <v>16</v>
      </c>
    </row>
    <row r="49">
      <c r="A49" s="9" t="inlineStr">
        <is>
          <t>Cooling run hours per season</t>
        </is>
      </c>
      <c r="B49" s="36" t="n">
        <v>1000</v>
      </c>
    </row>
    <row r="50">
      <c r="A50" s="9" t="inlineStr">
        <is>
          <t>Electricity rate ($/kWh)</t>
        </is>
      </c>
      <c r="B50" s="51" t="n">
        <v>0.15</v>
      </c>
    </row>
    <row r="51">
      <c r="A51" s="9" t="inlineStr">
        <is>
          <t>Seasonal cooling delivered (BTU)</t>
        </is>
      </c>
      <c r="B51" s="39">
        <f>B46*12000*B49</f>
        <v/>
      </c>
    </row>
    <row r="52">
      <c r="A52" s="9" t="inlineStr">
        <is>
          <t>Old unit electricity (kWh)</t>
        </is>
      </c>
      <c r="B52" s="39">
        <f>IF(B47&gt;0,B51/(B47*1000),0)</f>
        <v/>
      </c>
    </row>
    <row r="53">
      <c r="A53" s="9" t="inlineStr">
        <is>
          <t>New unit electricity (kWh)</t>
        </is>
      </c>
      <c r="B53" s="39">
        <f>IF(B48&gt;0,B51/(B48*1000),0)</f>
        <v/>
      </c>
    </row>
    <row r="54">
      <c r="A54" s="9" t="inlineStr">
        <is>
          <t>Electricity saved (kWh)</t>
        </is>
      </c>
      <c r="B54" s="39">
        <f>B52-B53</f>
        <v/>
      </c>
    </row>
    <row r="55">
      <c r="A55" s="14" t="inlineStr">
        <is>
          <t>COOLING ENERGY CUT</t>
        </is>
      </c>
      <c r="B55" s="41">
        <f>IF(B52&gt;0,B54/B52,0)</f>
        <v/>
      </c>
    </row>
    <row r="56">
      <c r="A56" s="14" t="inlineStr">
        <is>
          <t>MONEY SAVED PER SEASON</t>
        </is>
      </c>
      <c r="B56" s="52">
        <f>B54*B50</f>
        <v/>
      </c>
    </row>
    <row r="57" ht="28" customHeight="1">
      <c r="A57" s="43" t="inlineStr">
        <is>
          <t>SEER is seasonal BTU of cooling per watt-hour in. The percentage cut is just 1 minus old SEER over new SEER - it does not care about house size; the dollars do. Run hours are the honest swing factor: a Minnesota season is not a Phoenix season.</t>
        </is>
      </c>
    </row>
    <row r="59" ht="20" customHeight="1">
      <c r="A59" s="35" t="inlineStr">
        <is>
          <t>LOOKUP - ROUND DUCT CFM BY SIZE &amp; VELOCITY</t>
        </is>
      </c>
    </row>
    <row r="60" ht="28" customHeight="1">
      <c r="A60" s="43" t="inlineStr">
        <is>
          <t>CFM = duct area × air velocity. Read across: the same 6-inch duct that carries about 118 CFM at a quiet 600 fpm only moves 98 CFM at 500 fpm - velocity is the lever when a room runs hot or cold.</t>
        </is>
      </c>
    </row>
    <row r="61">
      <c r="A61" s="47" t="inlineStr">
        <is>
          <t>Round duct (in)</t>
        </is>
      </c>
      <c r="B61" s="47" t="inlineStr">
        <is>
          <t>Area (sq in)</t>
        </is>
      </c>
      <c r="C61" s="47" t="inlineStr">
        <is>
          <t>CFM @ 500 fpm</t>
        </is>
      </c>
      <c r="D61" s="47" t="inlineStr">
        <is>
          <t>CFM @ 600 fpm</t>
        </is>
      </c>
      <c r="E61" s="47" t="inlineStr">
        <is>
          <t>CFM @ 700 fpm</t>
        </is>
      </c>
      <c r="F61" s="47" t="inlineStr">
        <is>
          <t>CFM @ 900 fpm</t>
        </is>
      </c>
    </row>
    <row r="62">
      <c r="A62" s="39" t="n">
        <v>4</v>
      </c>
      <c r="B62" s="38">
        <f>PI()*A62^2/4</f>
        <v/>
      </c>
      <c r="C62" s="39">
        <f>$B62/144*500</f>
        <v/>
      </c>
      <c r="D62" s="39">
        <f>$B62/144*600</f>
        <v/>
      </c>
      <c r="E62" s="39">
        <f>$B62/144*700</f>
        <v/>
      </c>
      <c r="F62" s="39">
        <f>$B62/144*900</f>
        <v/>
      </c>
    </row>
    <row r="63">
      <c r="A63" s="39" t="n">
        <v>5</v>
      </c>
      <c r="B63" s="38">
        <f>PI()*A63^2/4</f>
        <v/>
      </c>
      <c r="C63" s="39">
        <f>$B63/144*500</f>
        <v/>
      </c>
      <c r="D63" s="39">
        <f>$B63/144*600</f>
        <v/>
      </c>
      <c r="E63" s="39">
        <f>$B63/144*700</f>
        <v/>
      </c>
      <c r="F63" s="39">
        <f>$B63/144*900</f>
        <v/>
      </c>
    </row>
    <row r="64">
      <c r="A64" s="39" t="n">
        <v>6</v>
      </c>
      <c r="B64" s="38">
        <f>PI()*A64^2/4</f>
        <v/>
      </c>
      <c r="C64" s="39">
        <f>$B64/144*500</f>
        <v/>
      </c>
      <c r="D64" s="39">
        <f>$B64/144*600</f>
        <v/>
      </c>
      <c r="E64" s="39">
        <f>$B64/144*700</f>
        <v/>
      </c>
      <c r="F64" s="39">
        <f>$B64/144*900</f>
        <v/>
      </c>
    </row>
    <row r="65">
      <c r="A65" s="39" t="n">
        <v>7</v>
      </c>
      <c r="B65" s="38">
        <f>PI()*A65^2/4</f>
        <v/>
      </c>
      <c r="C65" s="39">
        <f>$B65/144*500</f>
        <v/>
      </c>
      <c r="D65" s="39">
        <f>$B65/144*600</f>
        <v/>
      </c>
      <c r="E65" s="39">
        <f>$B65/144*700</f>
        <v/>
      </c>
      <c r="F65" s="39">
        <f>$B65/144*900</f>
        <v/>
      </c>
    </row>
    <row r="66">
      <c r="A66" s="39" t="n">
        <v>8</v>
      </c>
      <c r="B66" s="38">
        <f>PI()*A66^2/4</f>
        <v/>
      </c>
      <c r="C66" s="39">
        <f>$B66/144*500</f>
        <v/>
      </c>
      <c r="D66" s="39">
        <f>$B66/144*600</f>
        <v/>
      </c>
      <c r="E66" s="39">
        <f>$B66/144*700</f>
        <v/>
      </c>
      <c r="F66" s="39">
        <f>$B66/144*900</f>
        <v/>
      </c>
    </row>
    <row r="67">
      <c r="A67" s="39" t="n">
        <v>9</v>
      </c>
      <c r="B67" s="38">
        <f>PI()*A67^2/4</f>
        <v/>
      </c>
      <c r="C67" s="39">
        <f>$B67/144*500</f>
        <v/>
      </c>
      <c r="D67" s="39">
        <f>$B67/144*600</f>
        <v/>
      </c>
      <c r="E67" s="39">
        <f>$B67/144*700</f>
        <v/>
      </c>
      <c r="F67" s="39">
        <f>$B67/144*900</f>
        <v/>
      </c>
    </row>
    <row r="68">
      <c r="A68" s="39" t="n">
        <v>10</v>
      </c>
      <c r="B68" s="38">
        <f>PI()*A68^2/4</f>
        <v/>
      </c>
      <c r="C68" s="39">
        <f>$B68/144*500</f>
        <v/>
      </c>
      <c r="D68" s="39">
        <f>$B68/144*600</f>
        <v/>
      </c>
      <c r="E68" s="39">
        <f>$B68/144*700</f>
        <v/>
      </c>
      <c r="F68" s="39">
        <f>$B68/144*900</f>
        <v/>
      </c>
    </row>
    <row r="69">
      <c r="A69" s="39" t="n">
        <v>12</v>
      </c>
      <c r="B69" s="38">
        <f>PI()*A69^2/4</f>
        <v/>
      </c>
      <c r="C69" s="39">
        <f>$B69/144*500</f>
        <v/>
      </c>
      <c r="D69" s="39">
        <f>$B69/144*600</f>
        <v/>
      </c>
      <c r="E69" s="39">
        <f>$B69/144*700</f>
        <v/>
      </c>
      <c r="F69" s="39">
        <f>$B69/144*900</f>
        <v/>
      </c>
    </row>
    <row r="70">
      <c r="A70" s="39" t="n">
        <v>14</v>
      </c>
      <c r="B70" s="38">
        <f>PI()*A70^2/4</f>
        <v/>
      </c>
      <c r="C70" s="39">
        <f>$B70/144*500</f>
        <v/>
      </c>
      <c r="D70" s="39">
        <f>$B70/144*600</f>
        <v/>
      </c>
      <c r="E70" s="39">
        <f>$B70/144*700</f>
        <v/>
      </c>
      <c r="F70" s="39">
        <f>$B70/144*900</f>
        <v/>
      </c>
    </row>
    <row r="71">
      <c r="A71" s="39" t="n">
        <v>16</v>
      </c>
      <c r="B71" s="38">
        <f>PI()*A71^2/4</f>
        <v/>
      </c>
      <c r="C71" s="39">
        <f>$B71/144*500</f>
        <v/>
      </c>
      <c r="D71" s="39">
        <f>$B71/144*600</f>
        <v/>
      </c>
      <c r="E71" s="39">
        <f>$B71/144*700</f>
        <v/>
      </c>
      <c r="F71" s="39">
        <f>$B71/144*900</f>
        <v/>
      </c>
    </row>
    <row r="72">
      <c r="A72" s="39" t="n">
        <v>18</v>
      </c>
      <c r="B72" s="38">
        <f>PI()*A72^2/4</f>
        <v/>
      </c>
      <c r="C72" s="39">
        <f>$B72/144*500</f>
        <v/>
      </c>
      <c r="D72" s="39">
        <f>$B72/144*600</f>
        <v/>
      </c>
      <c r="E72" s="39">
        <f>$B72/144*700</f>
        <v/>
      </c>
      <c r="F72" s="39">
        <f>$B72/144*900</f>
        <v/>
      </c>
    </row>
    <row r="73">
      <c r="A73" s="39" t="n">
        <v>20</v>
      </c>
      <c r="B73" s="38">
        <f>PI()*A73^2/4</f>
        <v/>
      </c>
      <c r="C73" s="39">
        <f>$B73/144*500</f>
        <v/>
      </c>
      <c r="D73" s="39">
        <f>$B73/144*600</f>
        <v/>
      </c>
      <c r="E73" s="39">
        <f>$B73/144*700</f>
        <v/>
      </c>
      <c r="F73" s="39">
        <f>$B73/144*900</f>
        <v/>
      </c>
    </row>
  </sheetData>
  <mergeCells count="11">
    <mergeCell ref="A60:F60"/>
    <mergeCell ref="A1:C1"/>
    <mergeCell ref="A45:C45"/>
    <mergeCell ref="A16:C16"/>
    <mergeCell ref="A30:C30"/>
    <mergeCell ref="A39:C39"/>
    <mergeCell ref="A59:F59"/>
    <mergeCell ref="A4:C4"/>
    <mergeCell ref="A57:C57"/>
    <mergeCell ref="A38:C38"/>
    <mergeCell ref="A2:C2"/>
  </mergeCells>
  <dataValidations count="3">
    <dataValidation sqref="B5" showDropDown="0" showInputMessage="0" showErrorMessage="0" allowBlank="0" type="list">
      <formula1>"Living / family room,Bedroom,Kitchen,Bathroom"</formula1>
    </dataValidation>
    <dataValidation sqref="B8" showDropDown="0" showInputMessage="0" showErrorMessage="0" allowBlank="0" type="list">
      <formula1>"500 fpm - quiet (bedrooms),600 fpm - typical supply,700 fpm,900 fpm - trunk / max flex"</formula1>
    </dataValidation>
    <dataValidation sqref="B32" showDropDown="0" showInputMessage="0" showErrorMessage="0" allowBlank="0" error="Pick from the list" prompt="Pick from the dropdown" type="list">
      <formula1>"20 - mild / tight newer home,25 - average home,30 - hot / older leaky home,35 - very hot / poor insulation"</formula1>
    </dataValidation>
  </dataValidations>
  <printOptions horizontalCentered="1"/>
  <pageMargins left="0.75" right="0.75" top="1" bottom="1" header="0.5" footer="0.5"/>
  <pageSetup orientation="portrait" fitToWidth="1"/>
  <headerFooter>
    <oddHeader>&amp;C&amp;11 Highway 38 Solutions</oddHeader>
    <oddFooter/>
    <evenHeader>&amp;C&amp;11 Highway 38 Solutions</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F92"/>
  <sheetViews>
    <sheetView workbookViewId="0">
      <selection activeCell="A1" sqref="A1"/>
    </sheetView>
  </sheetViews>
  <sheetFormatPr baseColWidth="8" defaultRowHeight="15"/>
  <cols>
    <col width="16" customWidth="1" min="1" max="1"/>
    <col width="14" customWidth="1" min="2" max="2"/>
    <col width="14" customWidth="1" min="3" max="3"/>
    <col width="16" customWidth="1" min="4" max="4"/>
    <col width="14" customWidth="1" min="5" max="5"/>
    <col width="14" customWidth="1" min="6" max="6"/>
  </cols>
  <sheetData>
    <row r="1" ht="24" customHeight="1">
      <c r="A1" s="56" t="inlineStr">
        <is>
          <t>HVAC REFERENCE - Refrigerant PT chart, duct equivalents &amp; filter sizes</t>
        </is>
      </c>
    </row>
    <row r="2" ht="28" customHeight="1">
      <c r="A2" s="57" t="inlineStr">
        <is>
          <t>Saturation pressures for the gauge manifold, the round duct a rectangular one acts like, and the filter sizes that actually exist. Sizing and savings calculators are on the HVAC sheet.</t>
        </is>
      </c>
    </row>
    <row r="4" ht="20" customHeight="1">
      <c r="A4" s="35" t="inlineStr">
        <is>
          <t>REFRIGERANT PT CHART - saturation pressure (psig)</t>
        </is>
      </c>
    </row>
    <row r="5">
      <c r="A5" s="14" t="inlineStr">
        <is>
          <t>Temp (°F)</t>
        </is>
      </c>
      <c r="B5" s="14" t="inlineStr">
        <is>
          <t>R-410A</t>
        </is>
      </c>
      <c r="C5" s="14" t="inlineStr">
        <is>
          <t>R-22</t>
        </is>
      </c>
      <c r="D5" s="14" t="inlineStr">
        <is>
          <t>Temp (°F)</t>
        </is>
      </c>
      <c r="E5" s="14" t="inlineStr">
        <is>
          <t>R-410A</t>
        </is>
      </c>
      <c r="F5" s="14" t="inlineStr">
        <is>
          <t>R-22</t>
        </is>
      </c>
    </row>
    <row r="6">
      <c r="A6" s="66" t="n">
        <v>0</v>
      </c>
      <c r="B6" s="62" t="n">
        <v>48.4</v>
      </c>
      <c r="C6" s="62" t="n">
        <v>24</v>
      </c>
      <c r="D6" s="66" t="n">
        <v>70</v>
      </c>
      <c r="E6" s="62" t="n">
        <v>201.8</v>
      </c>
      <c r="F6" s="62" t="n">
        <v>121.4</v>
      </c>
    </row>
    <row r="7">
      <c r="A7" s="66" t="n">
        <v>5</v>
      </c>
      <c r="B7" s="62" t="n">
        <v>55.2</v>
      </c>
      <c r="C7" s="62" t="n">
        <v>28.2</v>
      </c>
      <c r="D7" s="66" t="n">
        <v>75</v>
      </c>
      <c r="E7" s="62" t="n">
        <v>218.7</v>
      </c>
      <c r="F7" s="62" t="n">
        <v>132</v>
      </c>
    </row>
    <row r="8">
      <c r="A8" s="66" t="n">
        <v>10</v>
      </c>
      <c r="B8" s="62" t="n">
        <v>62.4</v>
      </c>
      <c r="C8" s="62" t="n">
        <v>32.8</v>
      </c>
      <c r="D8" s="66" t="n">
        <v>80</v>
      </c>
      <c r="E8" s="62" t="n">
        <v>236.5</v>
      </c>
      <c r="F8" s="62" t="n">
        <v>143.6</v>
      </c>
    </row>
    <row r="9">
      <c r="A9" s="66" t="n">
        <v>15</v>
      </c>
      <c r="B9" s="62" t="n">
        <v>70.3</v>
      </c>
      <c r="C9" s="62" t="n">
        <v>37.7</v>
      </c>
      <c r="D9" s="66" t="n">
        <v>85</v>
      </c>
      <c r="E9" s="62" t="n">
        <v>255.4</v>
      </c>
      <c r="F9" s="62" t="n">
        <v>156</v>
      </c>
    </row>
    <row r="10">
      <c r="A10" s="66" t="n">
        <v>20</v>
      </c>
      <c r="B10" s="62" t="n">
        <v>78.7</v>
      </c>
      <c r="C10" s="62" t="n">
        <v>43.1</v>
      </c>
      <c r="D10" s="66" t="n">
        <v>90</v>
      </c>
      <c r="E10" s="62" t="n">
        <v>275.4</v>
      </c>
      <c r="F10" s="62" t="n">
        <v>168.4</v>
      </c>
    </row>
    <row r="11">
      <c r="A11" s="66" t="n">
        <v>25</v>
      </c>
      <c r="B11" s="62" t="n">
        <v>87.7</v>
      </c>
      <c r="C11" s="62" t="n">
        <v>48.8</v>
      </c>
      <c r="D11" s="66" t="n">
        <v>95</v>
      </c>
      <c r="E11" s="62" t="n">
        <v>296.4</v>
      </c>
      <c r="F11" s="62" t="n">
        <v>181.9</v>
      </c>
    </row>
    <row r="12">
      <c r="A12" s="66" t="n">
        <v>30</v>
      </c>
      <c r="B12" s="62" t="n">
        <v>97.40000000000001</v>
      </c>
      <c r="C12" s="62" t="n">
        <v>55</v>
      </c>
      <c r="D12" s="66" t="n">
        <v>100</v>
      </c>
      <c r="E12" s="62" t="n">
        <v>318.6</v>
      </c>
      <c r="F12" s="62" t="n">
        <v>195.9</v>
      </c>
    </row>
    <row r="13">
      <c r="A13" s="66" t="n">
        <v>35</v>
      </c>
      <c r="B13" s="62" t="n">
        <v>107.7</v>
      </c>
      <c r="C13" s="62" t="n">
        <v>61.5</v>
      </c>
      <c r="D13" s="66" t="n">
        <v>105</v>
      </c>
      <c r="E13" s="62" t="n">
        <v>341.9</v>
      </c>
      <c r="F13" s="62" t="n">
        <v>211</v>
      </c>
    </row>
    <row r="14">
      <c r="A14" s="66" t="n">
        <v>40</v>
      </c>
      <c r="B14" s="62" t="n">
        <v>118.8</v>
      </c>
      <c r="C14" s="62" t="n">
        <v>68.59999999999999</v>
      </c>
      <c r="D14" s="66" t="n">
        <v>110</v>
      </c>
      <c r="E14" s="62" t="n">
        <v>366.4</v>
      </c>
      <c r="F14" s="62" t="n">
        <v>226.4</v>
      </c>
    </row>
    <row r="15">
      <c r="A15" s="66" t="n">
        <v>45</v>
      </c>
      <c r="B15" s="62" t="n">
        <v>130.6</v>
      </c>
      <c r="C15" s="62" t="n">
        <v>76</v>
      </c>
      <c r="D15" s="66" t="n">
        <v>115</v>
      </c>
      <c r="E15" s="62" t="n">
        <v>392.3</v>
      </c>
      <c r="F15" s="62" t="n">
        <v>243</v>
      </c>
    </row>
    <row r="16">
      <c r="A16" s="66" t="n">
        <v>50</v>
      </c>
      <c r="B16" s="62" t="n">
        <v>143.2</v>
      </c>
      <c r="C16" s="62" t="n">
        <v>84.09999999999999</v>
      </c>
      <c r="D16" s="66" t="n">
        <v>120</v>
      </c>
      <c r="E16" s="62" t="n">
        <v>419.4</v>
      </c>
      <c r="F16" s="62" t="n">
        <v>260</v>
      </c>
    </row>
    <row r="17">
      <c r="A17" s="66" t="n">
        <v>55</v>
      </c>
      <c r="B17" s="62" t="n">
        <v>156.5</v>
      </c>
      <c r="C17" s="62" t="n">
        <v>92.59999999999999</v>
      </c>
      <c r="D17" s="66" t="n">
        <v>125</v>
      </c>
      <c r="E17" s="62" t="n">
        <v>447.9</v>
      </c>
      <c r="F17" s="62" t="n">
        <v>278</v>
      </c>
    </row>
    <row r="18">
      <c r="A18" s="66" t="n">
        <v>60</v>
      </c>
      <c r="B18" s="62" t="n">
        <v>170.7</v>
      </c>
      <c r="C18" s="62" t="n">
        <v>101.6</v>
      </c>
      <c r="D18" s="66" t="n">
        <v>130</v>
      </c>
      <c r="E18" s="62" t="n">
        <v>477.9</v>
      </c>
      <c r="F18" s="62" t="n">
        <v>296.9</v>
      </c>
    </row>
    <row r="19">
      <c r="A19" s="66" t="n">
        <v>65</v>
      </c>
      <c r="B19" s="62" t="n">
        <v>185.8</v>
      </c>
      <c r="C19" s="62" t="n">
        <v>111.3</v>
      </c>
    </row>
    <row r="20" ht="70" customHeight="1">
      <c r="A20" s="61" t="inlineStr">
        <is>
          <t>These are saturation pressures - what the gauge reads when liquid and vapor sit together at that temperature, which is how superheat and subcooling get figured. R-410A values are the liquid (bubble) column; its vapor (dew) column runs 0.2-1.1 psi lower, well inside a degree of superheat. A running system's pressures land near these numbers, not on them: the low side tracks the coil temperature (about 40 °F saturation on a design day - 118 psig on R-410A, 69 on R-22) and the high side runs 25-30 °F of saturation over the outdoor temperature on a clean, correctly charged system.</t>
        </is>
      </c>
    </row>
    <row r="22" ht="20" customHeight="1">
      <c r="A22" s="82" t="inlineStr">
        <is>
          <t>R-454B (OPTEON XL41) - FULL PT CHART, bubble &amp; dew (psig)</t>
        </is>
      </c>
    </row>
    <row r="23">
      <c r="A23" s="83" t="inlineStr">
        <is>
          <t>Temp (°F)</t>
        </is>
      </c>
      <c r="B23" s="83" t="inlineStr">
        <is>
          <t>Bubble (liquid)</t>
        </is>
      </c>
      <c r="C23" s="83" t="inlineStr">
        <is>
          <t>Dew (vapor)</t>
        </is>
      </c>
      <c r="D23" s="83" t="inlineStr">
        <is>
          <t>Temp (°F)</t>
        </is>
      </c>
      <c r="E23" s="83" t="inlineStr">
        <is>
          <t>Bubble (liquid)</t>
        </is>
      </c>
      <c r="F23" s="83" t="inlineStr">
        <is>
          <t>Dew (vapor)</t>
        </is>
      </c>
    </row>
    <row r="24">
      <c r="A24" s="84" t="n">
        <v>-20</v>
      </c>
      <c r="B24" s="84" t="n">
        <v>24.3</v>
      </c>
      <c r="C24" s="84" t="n">
        <v>23</v>
      </c>
      <c r="D24" s="84" t="n">
        <v>55</v>
      </c>
      <c r="E24" s="84" t="n">
        <v>147.6</v>
      </c>
      <c r="F24" s="84" t="inlineStr">
        <is>
          <t>142.2*</t>
        </is>
      </c>
    </row>
    <row r="25">
      <c r="A25" s="84" t="n">
        <v>-15</v>
      </c>
      <c r="B25" s="84" t="n">
        <v>28.9</v>
      </c>
      <c r="C25" s="84" t="n">
        <v>27.5</v>
      </c>
      <c r="D25" s="84" t="n">
        <v>60</v>
      </c>
      <c r="E25" s="84" t="n">
        <v>161</v>
      </c>
      <c r="F25" s="84" t="n">
        <v>155.4</v>
      </c>
    </row>
    <row r="26">
      <c r="A26" s="84" t="n">
        <v>-10</v>
      </c>
      <c r="B26" s="84" t="n">
        <v>34</v>
      </c>
      <c r="C26" s="84" t="n">
        <v>32.3</v>
      </c>
      <c r="D26" s="84" t="n">
        <v>65</v>
      </c>
      <c r="E26" s="84" t="n">
        <v>175.3</v>
      </c>
      <c r="F26" s="84" t="n">
        <v>168.5</v>
      </c>
    </row>
    <row r="27">
      <c r="A27" s="84" t="n">
        <v>-5</v>
      </c>
      <c r="B27" s="84" t="n">
        <v>39.4</v>
      </c>
      <c r="C27" s="84" t="n">
        <v>37.6</v>
      </c>
      <c r="D27" s="84" t="n">
        <v>70</v>
      </c>
      <c r="E27" s="84" t="n">
        <v>190.4</v>
      </c>
      <c r="F27" s="84" t="n">
        <v>183.1</v>
      </c>
    </row>
    <row r="28">
      <c r="A28" s="84" t="n">
        <v>0</v>
      </c>
      <c r="B28" s="84" t="n">
        <v>45.3</v>
      </c>
      <c r="C28" s="84" t="n">
        <v>43.3</v>
      </c>
      <c r="D28" s="84" t="n">
        <v>75</v>
      </c>
      <c r="E28" s="84" t="n">
        <v>206.4</v>
      </c>
      <c r="F28" s="84" t="n">
        <v>198.7</v>
      </c>
    </row>
    <row r="29">
      <c r="A29" s="84" t="n">
        <v>5</v>
      </c>
      <c r="B29" s="84" t="n">
        <v>51.7</v>
      </c>
      <c r="C29" s="84" t="n">
        <v>49.4</v>
      </c>
      <c r="D29" s="84" t="n">
        <v>80</v>
      </c>
      <c r="E29" s="84" t="n">
        <v>223.3</v>
      </c>
      <c r="F29" s="84" t="n">
        <v>216.1</v>
      </c>
    </row>
    <row r="30">
      <c r="A30" s="84" t="n">
        <v>10</v>
      </c>
      <c r="B30" s="84" t="n">
        <v>58.6</v>
      </c>
      <c r="C30" s="84" t="n">
        <v>56.1</v>
      </c>
      <c r="D30" s="84" t="n">
        <v>85</v>
      </c>
      <c r="E30" s="84" t="n">
        <v>241.1</v>
      </c>
      <c r="F30" s="84" t="inlineStr">
        <is>
          <t>233.5*</t>
        </is>
      </c>
    </row>
    <row r="31">
      <c r="A31" s="84" t="n">
        <v>15</v>
      </c>
      <c r="B31" s="84" t="n">
        <v>66</v>
      </c>
      <c r="C31" s="84" t="n">
        <v>63.2</v>
      </c>
      <c r="D31" s="84" t="n">
        <v>90</v>
      </c>
      <c r="E31" s="84" t="n">
        <v>260</v>
      </c>
      <c r="F31" s="84" t="n">
        <v>251</v>
      </c>
    </row>
    <row r="32" ht="56" customHeight="1">
      <c r="A32" s="84" t="n">
        <v>20</v>
      </c>
      <c r="B32" s="84" t="n">
        <v>74</v>
      </c>
      <c r="C32" s="84" t="n">
        <v>70.90000000000001</v>
      </c>
      <c r="D32" s="84" t="n">
        <v>95</v>
      </c>
      <c r="E32" s="84" t="n">
        <v>279.9</v>
      </c>
      <c r="F32" s="84" t="n">
        <v>270.4</v>
      </c>
    </row>
    <row r="33">
      <c r="A33" s="84" t="n">
        <v>25</v>
      </c>
      <c r="B33" s="84" t="n">
        <v>82.5</v>
      </c>
      <c r="C33" s="84" t="inlineStr">
        <is>
          <t>78.9*</t>
        </is>
      </c>
      <c r="D33" s="84" t="n">
        <v>100</v>
      </c>
      <c r="E33" s="84" t="n">
        <v>300.8</v>
      </c>
      <c r="F33" s="84" t="n">
        <v>291.6</v>
      </c>
    </row>
    <row r="34">
      <c r="A34" s="84" t="n">
        <v>30</v>
      </c>
      <c r="B34" s="84" t="n">
        <v>91.7</v>
      </c>
      <c r="C34" s="84" t="inlineStr">
        <is>
          <t>87.8*</t>
        </is>
      </c>
      <c r="D34" s="84" t="n">
        <v>105</v>
      </c>
      <c r="E34" s="84" t="n">
        <v>322.8</v>
      </c>
      <c r="F34" s="84" t="inlineStr">
        <is>
          <t>313.5*</t>
        </is>
      </c>
    </row>
    <row r="35">
      <c r="A35" s="84" t="n">
        <v>35</v>
      </c>
      <c r="B35" s="84" t="n">
        <v>101.5</v>
      </c>
      <c r="C35" s="84" t="inlineStr">
        <is>
          <t>97.3*</t>
        </is>
      </c>
      <c r="D35" s="84" t="n">
        <v>110</v>
      </c>
      <c r="E35" s="84" t="n">
        <v>346</v>
      </c>
      <c r="F35" s="84" t="n">
        <v>335.2</v>
      </c>
    </row>
    <row r="36">
      <c r="A36" s="84" t="n">
        <v>40</v>
      </c>
      <c r="B36" s="84" t="n">
        <v>111.9</v>
      </c>
      <c r="C36" s="84" t="n">
        <v>107.7</v>
      </c>
      <c r="D36" s="84" t="n">
        <v>115</v>
      </c>
      <c r="E36" s="84" t="n">
        <v>370.4</v>
      </c>
      <c r="F36" s="84" t="inlineStr">
        <is>
          <t>360.3*</t>
        </is>
      </c>
    </row>
    <row r="37">
      <c r="A37" s="84" t="n">
        <v>45</v>
      </c>
      <c r="B37" s="84" t="n">
        <v>123.1</v>
      </c>
      <c r="C37" s="84" t="n">
        <v>117.8</v>
      </c>
      <c r="D37" s="84" t="n">
        <v>120</v>
      </c>
      <c r="E37" s="84" t="n">
        <v>395.9</v>
      </c>
      <c r="F37" s="84" t="n">
        <v>384</v>
      </c>
    </row>
    <row r="38">
      <c r="A38" s="84" t="n">
        <v>50</v>
      </c>
      <c r="B38" s="84" t="n">
        <v>135</v>
      </c>
      <c r="C38" s="84" t="n">
        <v>130.1</v>
      </c>
      <c r="D38" s="84" t="n">
        <v>125</v>
      </c>
      <c r="E38" s="84" t="n">
        <v>422.8</v>
      </c>
      <c r="F38" s="84" t="n">
        <v>410.8</v>
      </c>
    </row>
    <row r="39">
      <c r="A39" s="84" t="n"/>
      <c r="B39" s="84" t="n"/>
      <c r="C39" s="84" t="n"/>
      <c r="D39" s="84" t="n">
        <v>130</v>
      </c>
      <c r="E39" s="84" t="n">
        <v>450.9</v>
      </c>
      <c r="F39" s="84" t="inlineStr">
        <is>
          <t>440.0*</t>
        </is>
      </c>
    </row>
    <row r="40" ht="30" customHeight="1">
      <c r="A40" s="85" t="inlineStr">
        <is>
          <t>Figure superheat from the dew column and subcooling from the bubble column - R-454B has real temperature glide (about 2.3 °F at 40 °F), so the two columns are not interchangeable. Its pressures run about 6% under R-410A at the same temperature.</t>
        </is>
      </c>
    </row>
    <row r="41" ht="42" customHeight="1">
      <c r="A41" s="85" t="inlineStr">
        <is>
          <t>Sources, stated plainly: the bubble column is Senville's published R-454B pressure chart (an equipment maker's chart, all temperatures). The dew column is the Daikin / Total Green OEM charging manual PT chart (LIT-23) with Deepsel cheat-sheet and York (Danfoss-slider) published values - except the cells marked *, where no published 5° value exists; those are model-computed (CoolProp) and each sits within about 1 psi of the published charts at every temperature where they overlap. R-454B is an A2L refrigerant - mildly flammable - A2L-rated equipment and procedures only.</t>
        </is>
      </c>
    </row>
    <row r="42" ht="20" customHeight="1">
      <c r="A42" s="35" t="inlineStr">
        <is>
          <t>RECTANGULAR DUCT - the round duct it acts like, and the CFM it carries</t>
        </is>
      </c>
    </row>
    <row r="43">
      <c r="A43" s="14" t="inlineStr">
        <is>
          <t>Width (in)</t>
        </is>
      </c>
      <c r="B43" s="14" t="inlineStr">
        <is>
          <t>Height (in)</t>
        </is>
      </c>
      <c r="C43" s="14" t="inlineStr">
        <is>
          <t>Acts like round (in)</t>
        </is>
      </c>
      <c r="D43" s="14" t="inlineStr">
        <is>
          <t>CFM @ 600 fpm</t>
        </is>
      </c>
      <c r="E43" s="14" t="inlineStr">
        <is>
          <t>CFM @ 700 fpm</t>
        </is>
      </c>
      <c r="F43" s="84" t="n"/>
    </row>
    <row r="44">
      <c r="A44" s="66" t="n">
        <v>8</v>
      </c>
      <c r="B44" s="66" t="n">
        <v>4</v>
      </c>
      <c r="C44" s="62" t="n">
        <v>6.1</v>
      </c>
      <c r="D44" s="63">
        <f>(A44*B44/144)*600</f>
        <v/>
      </c>
      <c r="E44" s="63">
        <f>(A44*B44/144)*700</f>
        <v/>
      </c>
      <c r="F44" s="84" t="n"/>
    </row>
    <row r="45">
      <c r="A45" s="66" t="n">
        <v>10</v>
      </c>
      <c r="B45" s="66" t="n">
        <v>4</v>
      </c>
      <c r="C45" s="62" t="n">
        <v>6.7</v>
      </c>
      <c r="D45" s="63">
        <f>(A45*B45/144)*600</f>
        <v/>
      </c>
      <c r="E45" s="63">
        <f>(A45*B45/144)*700</f>
        <v/>
      </c>
      <c r="F45" s="84" t="n"/>
    </row>
    <row r="46">
      <c r="A46" s="66" t="n">
        <v>12</v>
      </c>
      <c r="B46" s="66" t="n">
        <v>4</v>
      </c>
      <c r="C46" s="62" t="n">
        <v>7.3</v>
      </c>
      <c r="D46" s="63">
        <f>(A46*B46/144)*600</f>
        <v/>
      </c>
      <c r="E46" s="63">
        <f>(A46*B46/144)*700</f>
        <v/>
      </c>
      <c r="F46" s="84" t="n"/>
    </row>
    <row r="47">
      <c r="A47" s="66" t="n">
        <v>14</v>
      </c>
      <c r="B47" s="66" t="n">
        <v>4</v>
      </c>
      <c r="C47" s="62" t="n">
        <v>7.8</v>
      </c>
      <c r="D47" s="63">
        <f>(A47*B47/144)*600</f>
        <v/>
      </c>
      <c r="E47" s="63">
        <f>(A47*B47/144)*700</f>
        <v/>
      </c>
      <c r="F47" s="84" t="n"/>
    </row>
    <row r="48">
      <c r="A48" s="66" t="n">
        <v>10</v>
      </c>
      <c r="B48" s="66" t="n">
        <v>6</v>
      </c>
      <c r="C48" s="62" t="n">
        <v>8.4</v>
      </c>
      <c r="D48" s="63">
        <f>(A48*B48/144)*600</f>
        <v/>
      </c>
      <c r="E48" s="63">
        <f>(A48*B48/144)*700</f>
        <v/>
      </c>
      <c r="F48" s="84" t="n"/>
    </row>
    <row r="49">
      <c r="A49" s="66" t="n">
        <v>12</v>
      </c>
      <c r="B49" s="66" t="n">
        <v>6</v>
      </c>
      <c r="C49" s="62" t="n">
        <v>9.1</v>
      </c>
      <c r="D49" s="63">
        <f>(A49*B49/144)*600</f>
        <v/>
      </c>
      <c r="E49" s="63">
        <f>(A49*B49/144)*700</f>
        <v/>
      </c>
      <c r="F49" s="84" t="n"/>
    </row>
    <row r="50">
      <c r="A50" s="66" t="n">
        <v>14</v>
      </c>
      <c r="B50" s="66" t="n">
        <v>6</v>
      </c>
      <c r="C50" s="62" t="n">
        <v>9.800000000000001</v>
      </c>
      <c r="D50" s="63">
        <f>(A50*B50/144)*600</f>
        <v/>
      </c>
      <c r="E50" s="63">
        <f>(A50*B50/144)*700</f>
        <v/>
      </c>
      <c r="F50" s="84" t="n"/>
    </row>
    <row r="51">
      <c r="A51" s="66" t="n">
        <v>16</v>
      </c>
      <c r="B51" s="66" t="n">
        <v>6</v>
      </c>
      <c r="C51" s="62" t="n">
        <v>10.4</v>
      </c>
      <c r="D51" s="63">
        <f>(A51*B51/144)*600</f>
        <v/>
      </c>
      <c r="E51" s="63">
        <f>(A51*B51/144)*700</f>
        <v/>
      </c>
      <c r="F51" s="84" t="n"/>
    </row>
    <row r="52">
      <c r="A52" s="66" t="n">
        <v>12</v>
      </c>
      <c r="B52" s="66" t="n">
        <v>8</v>
      </c>
      <c r="C52" s="62" t="n">
        <v>10.7</v>
      </c>
      <c r="D52" s="63">
        <f>(A52*B52/144)*600</f>
        <v/>
      </c>
      <c r="E52" s="63">
        <f>(A52*B52/144)*700</f>
        <v/>
      </c>
      <c r="F52" s="84" t="n"/>
    </row>
    <row r="53">
      <c r="A53" s="66" t="n">
        <v>14</v>
      </c>
      <c r="B53" s="66" t="n">
        <v>8</v>
      </c>
      <c r="C53" s="62" t="n">
        <v>11.5</v>
      </c>
      <c r="D53" s="63">
        <f>(A53*B53/144)*600</f>
        <v/>
      </c>
      <c r="E53" s="63">
        <f>(A53*B53/144)*700</f>
        <v/>
      </c>
      <c r="F53" s="84" t="n"/>
    </row>
    <row r="54">
      <c r="A54" s="66" t="n">
        <v>16</v>
      </c>
      <c r="B54" s="66" t="n">
        <v>8</v>
      </c>
      <c r="C54" s="62" t="n">
        <v>12.2</v>
      </c>
      <c r="D54" s="63">
        <f>(A54*B54/144)*600</f>
        <v/>
      </c>
      <c r="E54" s="63">
        <f>(A54*B54/144)*700</f>
        <v/>
      </c>
      <c r="F54" s="84" t="n"/>
    </row>
    <row r="55">
      <c r="A55" s="66" t="n">
        <v>18</v>
      </c>
      <c r="B55" s="66" t="n">
        <v>8</v>
      </c>
      <c r="C55" s="62" t="n">
        <v>12.9</v>
      </c>
      <c r="D55" s="63">
        <f>(A55*B55/144)*600</f>
        <v/>
      </c>
      <c r="E55" s="63">
        <f>(A55*B55/144)*700</f>
        <v/>
      </c>
      <c r="F55" s="84" t="n"/>
    </row>
    <row r="56">
      <c r="A56" s="66" t="n">
        <v>20</v>
      </c>
      <c r="B56" s="66" t="n">
        <v>8</v>
      </c>
      <c r="C56" s="62" t="n">
        <v>13.5</v>
      </c>
      <c r="D56" s="63">
        <f>(A56*B56/144)*600</f>
        <v/>
      </c>
      <c r="E56" s="63">
        <f>(A56*B56/144)*700</f>
        <v/>
      </c>
      <c r="F56" s="84" t="n"/>
    </row>
    <row r="57">
      <c r="A57" s="66" t="n">
        <v>16</v>
      </c>
      <c r="B57" s="66" t="n">
        <v>10</v>
      </c>
      <c r="C57" s="62" t="n">
        <v>13.7</v>
      </c>
      <c r="D57" s="63">
        <f>(A57*B57/144)*600</f>
        <v/>
      </c>
      <c r="E57" s="63">
        <f>(A57*B57/144)*700</f>
        <v/>
      </c>
      <c r="F57" s="84" t="n"/>
    </row>
    <row r="58">
      <c r="A58" s="66" t="n">
        <v>18</v>
      </c>
      <c r="B58" s="66" t="n">
        <v>10</v>
      </c>
      <c r="C58" s="62" t="n">
        <v>14.5</v>
      </c>
      <c r="D58" s="63">
        <f>(A58*B58/144)*600</f>
        <v/>
      </c>
      <c r="E58" s="63">
        <f>(A58*B58/144)*700</f>
        <v/>
      </c>
      <c r="F58" s="84" t="n"/>
    </row>
    <row r="59">
      <c r="A59" s="66" t="n">
        <v>20</v>
      </c>
      <c r="B59" s="66" t="n">
        <v>10</v>
      </c>
      <c r="C59" s="62" t="n">
        <v>15.2</v>
      </c>
      <c r="D59" s="63">
        <f>(A59*B59/144)*600</f>
        <v/>
      </c>
      <c r="E59" s="63">
        <f>(A59*B59/144)*700</f>
        <v/>
      </c>
      <c r="F59" s="84" t="n"/>
    </row>
    <row r="60">
      <c r="A60" s="66" t="n">
        <v>24</v>
      </c>
      <c r="B60" s="66" t="n">
        <v>10</v>
      </c>
      <c r="C60" s="62" t="n">
        <v>16.5</v>
      </c>
      <c r="D60" s="63">
        <f>(A60*B60/144)*600</f>
        <v/>
      </c>
      <c r="E60" s="63">
        <f>(A60*B60/144)*700</f>
        <v/>
      </c>
      <c r="F60" s="84" t="n"/>
    </row>
    <row r="61">
      <c r="A61" s="66" t="n">
        <v>20</v>
      </c>
      <c r="B61" s="66" t="n">
        <v>12</v>
      </c>
      <c r="C61" s="62" t="n">
        <v>16.8</v>
      </c>
      <c r="D61" s="63">
        <f>(A61*B61/144)*600</f>
        <v/>
      </c>
      <c r="E61" s="63">
        <f>(A61*B61/144)*700</f>
        <v/>
      </c>
      <c r="F61" s="84" t="n"/>
    </row>
    <row r="62">
      <c r="A62" s="66" t="n">
        <v>24</v>
      </c>
      <c r="B62" s="66" t="n">
        <v>12</v>
      </c>
      <c r="C62" s="62" t="n">
        <v>18.3</v>
      </c>
      <c r="D62" s="63">
        <f>(A62*B62/144)*600</f>
        <v/>
      </c>
      <c r="E62" s="63">
        <f>(A62*B62/144)*700</f>
        <v/>
      </c>
      <c r="F62" s="84" t="n"/>
    </row>
    <row r="63" ht="42" customHeight="1">
      <c r="A63" s="61" t="inlineStr">
        <is>
          <t>Equivalent round sizes by the ASHRAE (Huebscher) equation - same friction, same flow. CFM columns are the rectangle's own area at branch-duct velocities, matching the round-duct lookup on the HVAC sheet.</t>
        </is>
      </c>
    </row>
    <row r="64" ht="42" customHeight="1">
      <c r="A64" s="61" t="inlineStr">
        <is>
          <t>Flex duct honesty: a fully stretched flex run moves about what smooth metal one size smaller moves, and sagging or compressed flex can lose a third or more of its flow. Keep flex short, pulled tight, and bent gently - or go one size up.</t>
        </is>
      </c>
    </row>
    <row r="65">
      <c r="A65" s="84" t="n"/>
      <c r="B65" s="84" t="n"/>
      <c r="C65" s="84" t="n"/>
      <c r="D65" s="84" t="n"/>
      <c r="E65" s="84" t="n"/>
      <c r="F65" s="84" t="n"/>
    </row>
    <row r="66" ht="20" customHeight="1">
      <c r="A66" s="35" t="inlineStr">
        <is>
          <t>FILTERS &amp; RETURNS - sizes that exist, and how much filter a system needs</t>
        </is>
      </c>
    </row>
    <row r="67">
      <c r="A67" s="9" t="inlineStr">
        <is>
          <t>10×20</t>
        </is>
      </c>
      <c r="B67" s="84" t="n"/>
      <c r="C67" s="9" t="inlineStr">
        <is>
          <t>12×20</t>
        </is>
      </c>
      <c r="D67" s="84" t="n"/>
      <c r="E67" s="9" t="inlineStr">
        <is>
          <t>12×24</t>
        </is>
      </c>
      <c r="F67" s="84" t="n"/>
    </row>
    <row r="68">
      <c r="A68" s="9" t="inlineStr">
        <is>
          <t>14×20</t>
        </is>
      </c>
      <c r="B68" s="84" t="n"/>
      <c r="C68" s="9" t="inlineStr">
        <is>
          <t>14×24</t>
        </is>
      </c>
      <c r="D68" s="84" t="n"/>
      <c r="E68" s="9" t="inlineStr">
        <is>
          <t>14×25</t>
        </is>
      </c>
      <c r="F68" s="84" t="n"/>
    </row>
    <row r="69">
      <c r="A69" s="9" t="inlineStr">
        <is>
          <t>16×20</t>
        </is>
      </c>
      <c r="B69" s="84" t="n"/>
      <c r="C69" s="9" t="inlineStr">
        <is>
          <t>16×24</t>
        </is>
      </c>
      <c r="D69" s="84" t="n"/>
      <c r="E69" s="9" t="inlineStr">
        <is>
          <t>16×25</t>
        </is>
      </c>
      <c r="F69" s="84" t="n"/>
    </row>
    <row r="70">
      <c r="A70" s="9" t="inlineStr">
        <is>
          <t>18×24</t>
        </is>
      </c>
      <c r="B70" s="84" t="n"/>
      <c r="C70" s="9" t="inlineStr">
        <is>
          <t>18×25</t>
        </is>
      </c>
      <c r="D70" s="84" t="n"/>
      <c r="E70" s="9" t="inlineStr">
        <is>
          <t>20×20</t>
        </is>
      </c>
      <c r="F70" s="84" t="n"/>
    </row>
    <row r="71">
      <c r="A71" s="9" t="inlineStr">
        <is>
          <t>20×24</t>
        </is>
      </c>
      <c r="B71" s="84" t="n"/>
      <c r="C71" s="9" t="inlineStr">
        <is>
          <t>20×25</t>
        </is>
      </c>
      <c r="D71" s="84" t="n"/>
      <c r="E71" s="9" t="inlineStr">
        <is>
          <t>20×30</t>
        </is>
      </c>
      <c r="F71" s="84" t="n"/>
    </row>
    <row r="72">
      <c r="A72" s="9" t="inlineStr">
        <is>
          <t>24×24</t>
        </is>
      </c>
      <c r="B72" s="84" t="n"/>
      <c r="C72" s="9" t="inlineStr">
        <is>
          <t>24×30</t>
        </is>
      </c>
      <c r="D72" s="84" t="n"/>
      <c r="E72" s="84" t="n"/>
      <c r="F72" s="84" t="n"/>
    </row>
    <row r="73" ht="70" customHeight="1">
      <c r="A73" s="61" t="inlineStr">
        <is>
          <t>Common 1 in sizes above (most also come in 2 in and 4 in depths). Sizing rules that keep blowers alive: about 200 sq in of filter area per ton holds face velocity near 300 fpm, and a filter should never see more than about 500 fpm. A system moves about 400 CFM per ton (350-450 depending on climate and humidity goals). Size return grilles for 500 fpm at the face or less - returns get quieter as they get bigger, never the other way around.</t>
        </is>
      </c>
    </row>
    <row r="75" ht="20" customHeight="1">
      <c r="A75" s="35" t="inlineStr">
        <is>
          <t>CHARGING TARGETS - rules of thumb (the unit's own chart governs)</t>
        </is>
      </c>
    </row>
    <row r="76" ht="28" customHeight="1">
      <c r="A76" s="61" t="inlineStr">
        <is>
          <t>•  TXV / electronic expansion valve systems: charge by subcooling. The nameplate or the chart inside the unit gives the target - commonly 8-12 °F.</t>
        </is>
      </c>
    </row>
    <row r="77" ht="28" customHeight="1">
      <c r="A77" s="61" t="inlineStr">
        <is>
          <t>•  Fixed-orifice (piston) systems: charge by superheat, from the charging chart that ships with the unit - commonly 8-14 °F at typical indoor and outdoor conditions.</t>
        </is>
      </c>
    </row>
    <row r="78" ht="28" customHeight="1">
      <c r="A78" s="61" t="inlineStr">
        <is>
          <t>•  Weigh the charge in on a new install whenever the lineset length is known - the nameplate charge plus the lineset adjustment beats any gauge guess.</t>
        </is>
      </c>
    </row>
    <row r="80" ht="56" customHeight="1">
      <c r="A80" s="61" t="inlineStr">
        <is>
          <t>Sources: R-410A and R-22 saturation data from published manufacturer PT tables (Chemours/DuPont-style charts); R-454B full chart: bubble column from Senville's published PT chart, dew column from the Daikin/Total Green OEM charging manual (LIT-23) and Deepsel/York published charts, with a few model-computed cells marked * (see the chart note); line sizes are typical maker-shipped sizes; duct equivalents from the ASHRAE Huebscher equation; filter velocities are standard manufacturer guidance. Refrigerant work belongs to EPA Section 608-certified techs, and the equipment maker's chart always wins over a rule of thumb.</t>
        </is>
      </c>
    </row>
    <row r="82">
      <c r="A82" s="35" t="inlineStr">
        <is>
          <t>REFRIGERANT LINE SIZES - typical suction &amp; liquid lines by tonnage</t>
        </is>
      </c>
    </row>
    <row r="83">
      <c r="A83" s="14" t="inlineStr">
        <is>
          <t>System size</t>
        </is>
      </c>
      <c r="B83" s="14" t="inlineStr">
        <is>
          <t>Suction, run to 25 ft</t>
        </is>
      </c>
      <c r="C83" s="14" t="inlineStr">
        <is>
          <t>Liquid, run to 25 ft</t>
        </is>
      </c>
      <c r="D83" s="14" t="inlineStr">
        <is>
          <t>Suction, 26-50 ft</t>
        </is>
      </c>
      <c r="E83" s="14" t="inlineStr">
        <is>
          <t>Liquid, 26-50 ft</t>
        </is>
      </c>
    </row>
    <row r="84">
      <c r="A84" s="9" t="inlineStr">
        <is>
          <t>1.5 ton</t>
        </is>
      </c>
      <c r="B84" s="9" t="inlineStr">
        <is>
          <t>3/4″</t>
        </is>
      </c>
      <c r="C84" s="9" t="inlineStr">
        <is>
          <t>3/8″</t>
        </is>
      </c>
      <c r="D84" s="9" t="inlineStr">
        <is>
          <t>3/4″</t>
        </is>
      </c>
      <c r="E84" s="9" t="inlineStr">
        <is>
          <t>3/8″</t>
        </is>
      </c>
    </row>
    <row r="85">
      <c r="A85" s="9" t="inlineStr">
        <is>
          <t>2 ton</t>
        </is>
      </c>
      <c r="B85" s="9" t="inlineStr">
        <is>
          <t>3/4″</t>
        </is>
      </c>
      <c r="C85" s="9" t="inlineStr">
        <is>
          <t>3/8″</t>
        </is>
      </c>
      <c r="D85" s="9" t="inlineStr">
        <is>
          <t>7/8″</t>
        </is>
      </c>
      <c r="E85" s="9" t="inlineStr">
        <is>
          <t>3/8″</t>
        </is>
      </c>
    </row>
    <row r="86">
      <c r="A86" s="9" t="inlineStr">
        <is>
          <t>2.5 ton</t>
        </is>
      </c>
      <c r="B86" s="9" t="inlineStr">
        <is>
          <t>3/4″</t>
        </is>
      </c>
      <c r="C86" s="9" t="inlineStr">
        <is>
          <t>3/8″</t>
        </is>
      </c>
      <c r="D86" s="9" t="inlineStr">
        <is>
          <t>7/8″</t>
        </is>
      </c>
      <c r="E86" s="9" t="inlineStr">
        <is>
          <t>3/8″</t>
        </is>
      </c>
    </row>
    <row r="87">
      <c r="A87" s="9" t="inlineStr">
        <is>
          <t>3 ton</t>
        </is>
      </c>
      <c r="B87" s="9" t="inlineStr">
        <is>
          <t>3/4″</t>
        </is>
      </c>
      <c r="C87" s="9" t="inlineStr">
        <is>
          <t>3/8″</t>
        </is>
      </c>
      <c r="D87" s="9" t="inlineStr">
        <is>
          <t>7/8″</t>
        </is>
      </c>
      <c r="E87" s="9" t="inlineStr">
        <is>
          <t>3/8″</t>
        </is>
      </c>
    </row>
    <row r="88">
      <c r="A88" s="9" t="inlineStr">
        <is>
          <t>3.5 ton</t>
        </is>
      </c>
      <c r="B88" s="9" t="inlineStr">
        <is>
          <t>7/8″</t>
        </is>
      </c>
      <c r="C88" s="9" t="inlineStr">
        <is>
          <t>3/8″</t>
        </is>
      </c>
      <c r="D88" s="9" t="inlineStr">
        <is>
          <t>7/8″</t>
        </is>
      </c>
      <c r="E88" s="9" t="inlineStr">
        <is>
          <t>3/8″</t>
        </is>
      </c>
    </row>
    <row r="89">
      <c r="A89" s="9" t="inlineStr">
        <is>
          <t>4 ton</t>
        </is>
      </c>
      <c r="B89" s="9" t="inlineStr">
        <is>
          <t>7/8″</t>
        </is>
      </c>
      <c r="C89" s="9" t="inlineStr">
        <is>
          <t>3/8″</t>
        </is>
      </c>
      <c r="D89" s="9" t="inlineStr">
        <is>
          <t>1-1/8″</t>
        </is>
      </c>
      <c r="E89" s="9" t="inlineStr">
        <is>
          <t>3/8″</t>
        </is>
      </c>
    </row>
    <row r="90">
      <c r="A90" s="9" t="inlineStr">
        <is>
          <t>5 ton</t>
        </is>
      </c>
      <c r="B90" s="9" t="inlineStr">
        <is>
          <t>7/8″</t>
        </is>
      </c>
      <c r="C90" s="9" t="inlineStr">
        <is>
          <t>3/8″</t>
        </is>
      </c>
      <c r="D90" s="9" t="inlineStr">
        <is>
          <t>1-1/8″</t>
        </is>
      </c>
      <c r="E90" s="9" t="inlineStr">
        <is>
          <t>1/2″</t>
        </is>
      </c>
    </row>
    <row r="91" ht="42" customHeight="1">
      <c r="A91" s="43" t="inlineStr">
        <is>
          <t>TYPICAL - these are the sizes systems commonly ship with at standard lengths (Trane rated line sizes are the anchor: 3/4 in vapor on 2-3 ton, 7/8 in on 3.5-5 ton, 3/8 in liquid nearly everywhere). THE EQUIPMENT MAKER'S TABLE GOVERNS: long runs, big lifts and some brands differ, an undersized suction line costs capacity and superheat control, and charge adders are figured per foot of liquid line on the HVAC Loads sheet.</t>
        </is>
      </c>
    </row>
    <row r="92" ht="30" customHeight="1">
      <c r="A92" s="43" t="inlineStr">
        <is>
          <t>Runs past 50 ft, vertical lifts over about 20 ft, and oil return on risers are engineering checks, not chart lookups - follow the maker's long-line guide for the unit in front of you.</t>
        </is>
      </c>
    </row>
  </sheetData>
  <mergeCells count="20">
    <mergeCell ref="A41:F41"/>
    <mergeCell ref="A66:F66"/>
    <mergeCell ref="A80:F80"/>
    <mergeCell ref="A75:F75"/>
    <mergeCell ref="A2:F2"/>
    <mergeCell ref="A42:F42"/>
    <mergeCell ref="A76:F76"/>
    <mergeCell ref="A22:F22"/>
    <mergeCell ref="A4:F4"/>
    <mergeCell ref="A20:F20"/>
    <mergeCell ref="A91:F91"/>
    <mergeCell ref="A63:F63"/>
    <mergeCell ref="A40:F40"/>
    <mergeCell ref="A92:F92"/>
    <mergeCell ref="A77:F77"/>
    <mergeCell ref="A64:F64"/>
    <mergeCell ref="A73:F73"/>
    <mergeCell ref="A82:F82"/>
    <mergeCell ref="A1:F1"/>
    <mergeCell ref="A78:F78"/>
  </mergeCells>
  <pageMargins left="0.75" right="0.75" top="1" bottom="1" header="0.5" footer="0.5"/>
  <pageSetup orientation="portrait" fitToWidth="1"/>
  <headerFooter>
    <oddHeader>&amp;C&amp;11 Highway 38 Solutions</oddHeader>
    <oddFooter/>
    <evenHeader>&amp;C&amp;11 Highway 38 Solutions</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outlinePr summaryBelow="1" summaryRight="1"/>
    <pageSetUpPr fitToPage="1"/>
  </sheetPr>
  <dimension ref="A1:F89"/>
  <sheetViews>
    <sheetView workbookViewId="0">
      <selection activeCell="A1" sqref="A1"/>
    </sheetView>
  </sheetViews>
  <sheetFormatPr baseColWidth="8" defaultRowHeight="15"/>
  <cols>
    <col width="42" customWidth="1" min="1" max="1"/>
    <col width="15" customWidth="1" min="2" max="2"/>
    <col width="15" customWidth="1" min="3" max="3"/>
    <col width="18" customWidth="1" min="4" max="4"/>
    <col width="18" customWidth="1" min="5" max="5"/>
    <col width="58" customWidth="1" min="6" max="6"/>
  </cols>
  <sheetData>
    <row r="1" ht="24" customHeight="1">
      <c r="A1" s="56" t="inlineStr">
        <is>
          <t>HVAC LOADS - Load estimate, refrigerant charge, ventilation &amp; AFUE</t>
        </is>
      </c>
    </row>
    <row r="2" ht="28" customHeight="1">
      <c r="A2" s="2" t="inlineStr">
        <is>
          <t>A simplified load estimate (a ballpark, not a Manual J), refrigerant charge by weight, the ASHRAE 62.2 ventilation rate, and what an AFUE upgrade really saves.</t>
        </is>
      </c>
    </row>
    <row r="4" ht="20" customHeight="1">
      <c r="A4" s="35" t="inlineStr">
        <is>
          <t>1 - HEATING &amp; COOLING LOAD - SIMPLIFIED ESTIMATE ONLY</t>
        </is>
      </c>
    </row>
    <row r="5">
      <c r="A5" s="69" t="inlineStr">
        <is>
          <t>ESTIMATE ONLY - not a substitute for a full ACCA Manual J. Use it for ballparks, sanity checks and equipment conversations, not final equipment selection.</t>
        </is>
      </c>
    </row>
    <row r="6">
      <c r="A6" s="9" t="inlineStr">
        <is>
          <t>Indoor temperature - heating (deg F)</t>
        </is>
      </c>
      <c r="B6" s="36" t="n">
        <v>70</v>
      </c>
    </row>
    <row r="7">
      <c r="A7" s="9" t="inlineStr">
        <is>
          <t>Outdoor design temperature - heating (deg F)</t>
        </is>
      </c>
      <c r="B7" s="36" t="n">
        <v>0</v>
      </c>
    </row>
    <row r="8">
      <c r="A8" s="9" t="inlineStr">
        <is>
          <t>Heating temperature difference</t>
        </is>
      </c>
      <c r="B8" s="39">
        <f>B6-B7</f>
        <v/>
      </c>
    </row>
    <row r="9">
      <c r="A9" s="9" t="inlineStr">
        <is>
          <t>Indoor temperature - cooling (deg F)</t>
        </is>
      </c>
      <c r="B9" s="36" t="n">
        <v>75</v>
      </c>
    </row>
    <row r="10">
      <c r="A10" s="9" t="inlineStr">
        <is>
          <t>Outdoor design temperature - cooling (deg F)</t>
        </is>
      </c>
      <c r="B10" s="36" t="n">
        <v>95</v>
      </c>
    </row>
    <row r="11">
      <c r="A11" s="9" t="inlineStr">
        <is>
          <t>Cooling temperature difference</t>
        </is>
      </c>
      <c r="B11" s="39">
        <f>B10-B9</f>
        <v/>
      </c>
    </row>
    <row r="12">
      <c r="A12" s="14" t="inlineStr">
        <is>
          <t>Building part</t>
        </is>
      </c>
      <c r="B12" s="14" t="inlineStr">
        <is>
          <t>Area (sq ft)</t>
        </is>
      </c>
      <c r="C12" s="14" t="inlineStr">
        <is>
          <t>U-factor</t>
        </is>
      </c>
      <c r="D12" s="14" t="inlineStr">
        <is>
          <t>Heating (Btu/h)</t>
        </is>
      </c>
      <c r="E12" s="14" t="inlineStr">
        <is>
          <t>Cooling (Btu/h)</t>
        </is>
      </c>
    </row>
    <row r="13">
      <c r="A13" s="44" t="inlineStr">
        <is>
          <t>Walls (net of windows)</t>
        </is>
      </c>
      <c r="B13" s="36" t="n">
        <v>1200</v>
      </c>
      <c r="C13" s="45" t="n">
        <v>0.075</v>
      </c>
      <c r="D13" s="39">
        <f>B13*C13*$B$8</f>
        <v/>
      </c>
      <c r="E13" s="39">
        <f>B13*C13*$B$11</f>
        <v/>
      </c>
    </row>
    <row r="14">
      <c r="A14" s="44" t="inlineStr">
        <is>
          <t>Ceiling / roof</t>
        </is>
      </c>
      <c r="B14" s="36" t="n">
        <v>1800</v>
      </c>
      <c r="C14" s="45" t="n">
        <v>0.026</v>
      </c>
      <c r="D14" s="39">
        <f>B14*C14*$B$8</f>
        <v/>
      </c>
      <c r="E14" s="39">
        <f>B14*C14*$B$11</f>
        <v/>
      </c>
    </row>
    <row r="15">
      <c r="A15" s="44" t="inlineStr">
        <is>
          <t>Windows &amp; glass doors</t>
        </is>
      </c>
      <c r="B15" s="36" t="n">
        <v>200</v>
      </c>
      <c r="C15" s="45" t="n">
        <v>0.32</v>
      </c>
      <c r="D15" s="39">
        <f>B15*C15*$B$8</f>
        <v/>
      </c>
      <c r="E15" s="39">
        <f>B15*C15*$B$11</f>
        <v/>
      </c>
    </row>
    <row r="16">
      <c r="A16" s="44" t="inlineStr">
        <is>
          <t>Floor (heating only - ground-coupled)</t>
        </is>
      </c>
      <c r="B16" s="36" t="n">
        <v>1800</v>
      </c>
      <c r="C16" s="45" t="n">
        <v>0.04</v>
      </c>
      <c r="D16" s="39">
        <f>B16*C16*$B$8</f>
        <v/>
      </c>
      <c r="E16" s="39" t="n">
        <v>0</v>
      </c>
    </row>
    <row r="17">
      <c r="A17" s="9" t="inlineStr">
        <is>
          <t>House floor area (sq ft, for infiltration volume)</t>
        </is>
      </c>
      <c r="B17" s="36" t="n">
        <v>1800</v>
      </c>
    </row>
    <row r="18">
      <c r="A18" s="9" t="inlineStr">
        <is>
          <t>Ceiling height (ft)</t>
        </is>
      </c>
      <c r="B18" s="73" t="n">
        <v>8</v>
      </c>
    </row>
    <row r="19">
      <c r="A19" s="9" t="inlineStr">
        <is>
          <t>House volume (cu ft)</t>
        </is>
      </c>
      <c r="B19" s="39">
        <f>B17*B18</f>
        <v/>
      </c>
    </row>
    <row r="20">
      <c r="A20" s="9" t="inlineStr">
        <is>
          <t>Air changes per hour - ACH</t>
        </is>
      </c>
      <c r="B20" s="45" t="n">
        <v>0.5</v>
      </c>
      <c r="C20" s="69" t="inlineStr">
        <is>
          <t>0.35 tight new work - 0.5 average - 0.75 leaky - 1.0+ old and drafty.</t>
        </is>
      </c>
    </row>
    <row r="21">
      <c r="A21" s="9" t="inlineStr">
        <is>
          <t>Infiltration airflow (cfm)</t>
        </is>
      </c>
      <c r="B21" s="75">
        <f>B20*B19/60</f>
        <v/>
      </c>
    </row>
    <row r="22">
      <c r="A22" s="9" t="inlineStr">
        <is>
          <t>Infiltration load - heating (Btu/h)</t>
        </is>
      </c>
      <c r="B22" s="39">
        <f>1.08*B21*B8</f>
        <v/>
      </c>
    </row>
    <row r="23">
      <c r="A23" s="9" t="inlineStr">
        <is>
          <t>Infiltration load - cooling, sensible (Btu/h)</t>
        </is>
      </c>
      <c r="B23" s="39">
        <f>1.08*B21*B11</f>
        <v/>
      </c>
    </row>
    <row r="24">
      <c r="A24" s="9" t="inlineStr">
        <is>
          <t>Solar gain factor (Btu/h per sq ft of glass)</t>
        </is>
      </c>
      <c r="B24" s="36" t="n">
        <v>25</v>
      </c>
      <c r="C24" s="69" t="inlineStr">
        <is>
          <t>25 is a mixed-direction average with interior shades; a big west wall of glass can run 40+.</t>
        </is>
      </c>
    </row>
    <row r="25">
      <c r="A25" s="9" t="inlineStr">
        <is>
          <t>Solar gain through glass - cooling (Btu/h)</t>
        </is>
      </c>
      <c r="B25" s="39">
        <f>B15*B24</f>
        <v/>
      </c>
    </row>
    <row r="26">
      <c r="A26" s="9" t="inlineStr">
        <is>
          <t>Humidity difference (grains of moisture)</t>
        </is>
      </c>
      <c r="B26" s="36" t="n">
        <v>25</v>
      </c>
    </row>
    <row r="27">
      <c r="A27" s="9" t="inlineStr">
        <is>
          <t>Latent load - cooling (Btu/h)</t>
        </is>
      </c>
      <c r="B27" s="39">
        <f>0.68*B21*B26</f>
        <v/>
      </c>
    </row>
    <row r="28">
      <c r="A28" s="9" t="inlineStr">
        <is>
          <t>People in the house</t>
        </is>
      </c>
      <c r="B28" s="36" t="n">
        <v>4</v>
      </c>
    </row>
    <row r="29">
      <c r="A29" s="9" t="inlineStr">
        <is>
          <t>People gain - cooling (Btu/h)</t>
        </is>
      </c>
      <c r="B29" s="39">
        <f>B28*230</f>
        <v/>
      </c>
    </row>
    <row r="30">
      <c r="A30" s="9" t="inlineStr">
        <is>
          <t>Lights &amp; appliances gain - cooling (Btu/h)</t>
        </is>
      </c>
      <c r="B30" s="36" t="n">
        <v>1200</v>
      </c>
    </row>
    <row r="31">
      <c r="A31" s="14" t="inlineStr">
        <is>
          <t>ESTIMATED HEATING LOAD (Btu/h)</t>
        </is>
      </c>
      <c r="B31" s="46">
        <f>SUM(D13:D16)+B22</f>
        <v/>
      </c>
    </row>
    <row r="32">
      <c r="A32" s="14" t="inlineStr">
        <is>
          <t>ESTIMATED COOLING LOAD (Btu/h)</t>
        </is>
      </c>
      <c r="B32" s="46">
        <f>SUM(E13:E16)+B23+B25+B27+B29+B30</f>
        <v/>
      </c>
    </row>
    <row r="33">
      <c r="A33" s="9" t="inlineStr">
        <is>
          <t>Cooling load (tons)</t>
        </is>
      </c>
      <c r="B33" s="38">
        <f>B32/12000</f>
        <v/>
      </c>
    </row>
    <row r="34">
      <c r="A34" s="14" t="inlineStr">
        <is>
          <t>Closest nominal cooling size (tons)</t>
        </is>
      </c>
      <c r="B34" s="78">
        <f>IF(B33&gt;MAX($A$73:$A$79),"Over 5 tons",INDEX($A$73:$A$79,SUMPRODUCT(--($A$73:$A$79&lt;B33))+1))</f>
        <v/>
      </c>
    </row>
    <row r="35">
      <c r="A35" s="9" t="inlineStr">
        <is>
          <t>Furnace efficiency for input sizing - AFUE</t>
        </is>
      </c>
      <c r="B35" s="70" t="n">
        <v>0.92</v>
      </c>
    </row>
    <row r="36">
      <c r="A36" s="9" t="inlineStr">
        <is>
          <t>Furnace input needed (Btu/h)</t>
        </is>
      </c>
      <c r="B36" s="39">
        <f>IF(B35&gt;0,B31/B35,0)</f>
        <v/>
      </c>
    </row>
    <row r="37">
      <c r="A37" s="14" t="inlineStr">
        <is>
          <t>Common furnace size at or above that (Btu/h input)</t>
        </is>
      </c>
      <c r="B37" s="46">
        <f>IF(B36&gt;MAX($A$83:$A$87),"Over 120,000",INDEX($A$83:$A$87,SUMPRODUCT(--($A$83:$A$87&lt;B36))+1))</f>
        <v/>
      </c>
    </row>
    <row r="38">
      <c r="A38" s="69" t="inlineStr">
        <is>
          <t>U-factor quick guide: walls - 2x4 R-13 about 0.075, 2x6 R-19 about 0.055, uninsulated frame about 0.20; ceiling - R-30 0.033, R-38 0.026, R-49 0.020; windows - single pane 1.0, double 0.50, double low-e 0.32, triple 0.25; floor over unheated space - R-19 floor 0.05, uninsulated 0.09; the 0.040 floor default treats a slab or insulated floor. This method prices every surface at the full temperature difference and skips Manual J's credits and per-room breakdown - that is exactly why it is an estimate.</t>
        </is>
      </c>
    </row>
    <row r="40" ht="20" customHeight="1">
      <c r="A40" s="35" t="inlineStr">
        <is>
          <t>2 - REFRIGERANT CHARGE BY WEIGHT - line-set adjustment</t>
        </is>
      </c>
    </row>
    <row r="41">
      <c r="A41" s="9" t="inlineStr">
        <is>
          <t>Nameplate charge (lb)</t>
        </is>
      </c>
      <c r="B41" s="36" t="n">
        <v>8</v>
      </c>
      <c r="C41" s="69" t="inlineStr">
        <is>
          <t>Off the unit's rating plate or install manual.</t>
        </is>
      </c>
    </row>
    <row r="42">
      <c r="A42" s="9" t="inlineStr">
        <is>
          <t>Nameplate charge (oz, the part under a pound)</t>
        </is>
      </c>
      <c r="B42" s="36" t="n">
        <v>4</v>
      </c>
    </row>
    <row r="43">
      <c r="A43" s="9" t="inlineStr">
        <is>
          <t>Nameplate charge (total oz)</t>
        </is>
      </c>
      <c r="B43" s="39">
        <f>B41*16+B42</f>
        <v/>
      </c>
    </row>
    <row r="44">
      <c r="A44" s="9" t="inlineStr">
        <is>
          <t>Line length the factory charge covers (ft)</t>
        </is>
      </c>
      <c r="B44" s="36" t="n">
        <v>15</v>
      </c>
      <c r="C44" s="69" t="inlineStr">
        <is>
          <t>Often 15 ft - the install manual for your unit is the authority.</t>
        </is>
      </c>
    </row>
    <row r="45">
      <c r="A45" s="9" t="inlineStr">
        <is>
          <t>Actual line-set length (ft)</t>
        </is>
      </c>
      <c r="B45" s="36" t="n">
        <v>35</v>
      </c>
    </row>
    <row r="46">
      <c r="A46" s="9" t="inlineStr">
        <is>
          <t>Liquid line size</t>
        </is>
      </c>
      <c r="B46" s="37" t="inlineStr">
        <is>
          <t>3/8″</t>
        </is>
      </c>
    </row>
    <row r="47">
      <c r="A47" s="9" t="inlineStr">
        <is>
          <t>Charge factor (oz per ft of liquid line)</t>
        </is>
      </c>
      <c r="B47" s="38">
        <f>IF(B46="1/4″",0.3,IF(B46="5/16″",0.45,IF(B46="3/8″",0.6,1.2)))</f>
        <v/>
      </c>
      <c r="C47" s="69" t="inlineStr">
        <is>
          <t>Typical manufacturer table values for R-410A liquid lines.</t>
        </is>
      </c>
    </row>
    <row r="48">
      <c r="A48" s="9" t="inlineStr">
        <is>
          <t>Charge adjustment (oz)</t>
        </is>
      </c>
      <c r="B48" s="75">
        <f>(B45-B44)*B47</f>
        <v/>
      </c>
      <c r="C48" s="69" t="inlineStr">
        <is>
          <t>Negative on a short run - many manuals say leave small shortages in; check yours.</t>
        </is>
      </c>
    </row>
    <row r="49">
      <c r="A49" s="14" t="inlineStr">
        <is>
          <t>TOTAL CHARGE (oz)</t>
        </is>
      </c>
      <c r="B49" s="78">
        <f>B43+B48</f>
        <v/>
      </c>
    </row>
    <row r="50">
      <c r="A50" s="14" t="inlineStr">
        <is>
          <t>TOTAL CHARGE (lb and oz)</t>
        </is>
      </c>
      <c r="B50" s="47">
        <f>INT(B49/16)&amp;" lb "&amp;TEXT(MOD(B49,16),"0.0")&amp;" oz"</f>
        <v/>
      </c>
    </row>
    <row r="51">
      <c r="A51" s="69" t="inlineStr">
        <is>
          <t>Standard method from the installation manual: the nameplate charge covers the outdoor unit, the matched indoor coil and a standard length of line set. Longer line sets need the per-foot addition above; weigh the charge in on a scale - do not guess by pressure on a weigh-in job. Superheat / subcool trim still follows the manual afterward.</t>
        </is>
      </c>
    </row>
    <row r="53" ht="20" customHeight="1">
      <c r="A53" s="35" t="inlineStr">
        <is>
          <t>3 - VENTILATION - ASHRAE 62.2 whole-building rate</t>
        </is>
      </c>
    </row>
    <row r="54">
      <c r="A54" s="9" t="inlineStr">
        <is>
          <t>Floor area (sq ft)</t>
        </is>
      </c>
      <c r="B54" s="36" t="n">
        <v>1800</v>
      </c>
    </row>
    <row r="55">
      <c r="A55" s="9" t="inlineStr">
        <is>
          <t>Bedrooms</t>
        </is>
      </c>
      <c r="B55" s="36" t="n">
        <v>3</v>
      </c>
    </row>
    <row r="56">
      <c r="A56" s="14" t="inlineStr">
        <is>
          <t>Ventilation rate - 62.2, 2016 and newer (cfm)</t>
        </is>
      </c>
      <c r="B56" s="46">
        <f>0.03*B54+7.5*(B55+1)</f>
        <v/>
      </c>
      <c r="C56" s="69" t="inlineStr">
        <is>
          <t>0.03 cfm per sq ft + 7.5 cfm per (bedrooms + 1).</t>
        </is>
      </c>
    </row>
    <row r="57">
      <c r="A57" s="9" t="inlineStr">
        <is>
          <t>Ventilation rate - 62.2, 2010 edition (cfm)</t>
        </is>
      </c>
      <c r="B57" s="39">
        <f>0.01*B54+7.5*(B55+1)</f>
        <v/>
      </c>
      <c r="C57" s="69" t="inlineStr">
        <is>
          <t>The older formula used 0.01 cfm per sq ft - shown so you can match the edition your area adopted.</t>
        </is>
      </c>
    </row>
    <row r="58">
      <c r="A58" s="69" t="inlineStr">
        <is>
          <t>Whole-building mechanical ventilation from ASHRAE 62.2 Table 4.1a. Local exhaust is separate: kitchen 100 cfm intermittent, bath 50 cfm intermittent or 20 cfm continuous (62.2 Table 5.1). The standard also has infiltration credits and fan flow-rating rules - this is the headline rate.</t>
        </is>
      </c>
    </row>
    <row r="60" ht="20" customHeight="1">
      <c r="A60" s="35" t="inlineStr">
        <is>
          <t>4 - AFUE COMPARISON - what the efficiency upgrade saves</t>
        </is>
      </c>
    </row>
    <row r="61">
      <c r="A61" s="9" t="inlineStr">
        <is>
          <t>Current equipment AFUE</t>
        </is>
      </c>
      <c r="B61" s="70" t="n">
        <v>0.8</v>
      </c>
    </row>
    <row r="62">
      <c r="A62" s="9" t="inlineStr">
        <is>
          <t>New equipment AFUE</t>
        </is>
      </c>
      <c r="B62" s="70" t="n">
        <v>0.96</v>
      </c>
    </row>
    <row r="63">
      <c r="A63" s="9" t="inlineStr">
        <is>
          <t>Annual fuel spend on heating ($)</t>
        </is>
      </c>
      <c r="B63" s="51" t="n">
        <v>2400</v>
      </c>
      <c r="C63" s="69" t="inlineStr">
        <is>
          <t>From last year's fuel bills - heating fuel only.</t>
        </is>
      </c>
    </row>
    <row r="64">
      <c r="A64" s="9" t="inlineStr">
        <is>
          <t>Extra cost of the higher-efficiency unit ($)</t>
        </is>
      </c>
      <c r="B64" s="51" t="n">
        <v>2800</v>
      </c>
    </row>
    <row r="65">
      <c r="A65" s="9" t="inlineStr">
        <is>
          <t>Fuel cost with the new unit ($/yr)</t>
        </is>
      </c>
      <c r="B65" s="71">
        <f>IF(B62&gt;0,B63*B61/B62,0)</f>
        <v/>
      </c>
    </row>
    <row r="66">
      <c r="A66" s="14" t="inlineStr">
        <is>
          <t>ANNUAL SAVINGS</t>
        </is>
      </c>
      <c r="B66" s="52">
        <f>B63-B65</f>
        <v/>
      </c>
    </row>
    <row r="67">
      <c r="A67" s="9" t="inlineStr">
        <is>
          <t>Simple payback on the extra cost (years)</t>
        </is>
      </c>
      <c r="B67" s="75">
        <f>IF(B66&gt;0,B64/B66,"—")</f>
        <v/>
      </c>
    </row>
    <row r="68">
      <c r="A68" s="9" t="inlineStr">
        <is>
          <t>Savings over 10 years</t>
        </is>
      </c>
      <c r="B68" s="71">
        <f>B66*10</f>
        <v/>
      </c>
    </row>
    <row r="69">
      <c r="A69" s="69" t="inlineStr">
        <is>
          <t>Same heat from less fuel: new fuel cost = old cost x (old AFUE / new AFUE). Works for furnaces and boilers on any fuel, as long as the spend you type is heating fuel only. It does not price maintenance, repairs or the comfort difference - it is the fuel line, honestly drawn.</t>
        </is>
      </c>
    </row>
    <row r="71">
      <c r="A71" s="14" t="inlineStr">
        <is>
          <t>Reference - nominal cooling sizes (tons)</t>
        </is>
      </c>
    </row>
    <row r="72">
      <c r="A72" s="14" t="inlineStr">
        <is>
          <t>Size (tons)</t>
        </is>
      </c>
    </row>
    <row r="73">
      <c r="A73" s="75" t="n">
        <v>1.5</v>
      </c>
    </row>
    <row r="74">
      <c r="A74" s="75" t="n">
        <v>2</v>
      </c>
    </row>
    <row r="75">
      <c r="A75" s="75" t="n">
        <v>2.5</v>
      </c>
    </row>
    <row r="76">
      <c r="A76" s="75" t="n">
        <v>3</v>
      </c>
    </row>
    <row r="77">
      <c r="A77" s="75" t="n">
        <v>3.5</v>
      </c>
    </row>
    <row r="78">
      <c r="A78" s="75" t="n">
        <v>4</v>
      </c>
    </row>
    <row r="79">
      <c r="A79" s="75" t="n">
        <v>5</v>
      </c>
    </row>
    <row r="81">
      <c r="A81" s="14" t="inlineStr">
        <is>
          <t>Reference - common furnace input sizes (Btu/h)</t>
        </is>
      </c>
    </row>
    <row r="82">
      <c r="A82" s="14" t="inlineStr">
        <is>
          <t>Size (Btu/h)</t>
        </is>
      </c>
    </row>
    <row r="83">
      <c r="A83" s="39" t="n">
        <v>40000</v>
      </c>
    </row>
    <row r="84">
      <c r="A84" s="39" t="n">
        <v>60000</v>
      </c>
    </row>
    <row r="85">
      <c r="A85" s="39" t="n">
        <v>80000</v>
      </c>
    </row>
    <row r="86">
      <c r="A86" s="39" t="n">
        <v>100000</v>
      </c>
    </row>
    <row r="87">
      <c r="A87" s="39" t="n">
        <v>120000</v>
      </c>
    </row>
    <row r="89">
      <c r="A89" s="69" t="inlineStr">
        <is>
          <t>Sources: simplified UA-plus-infiltration method in the spirit of ACCA Manual J (full Manual J required for final sizing); line-charge factors from manufacturer installation manuals (typical R-410A values); ASHRAE Standard 62.2 Tables 4.1a and 5.1; AFUE savings relationship per U.S. DOE guidance.</t>
        </is>
      </c>
    </row>
  </sheetData>
  <mergeCells count="12">
    <mergeCell ref="A38:F38"/>
    <mergeCell ref="A2:F2"/>
    <mergeCell ref="A51:F51"/>
    <mergeCell ref="A60:F60"/>
    <mergeCell ref="A1:F1"/>
    <mergeCell ref="A5:F5"/>
    <mergeCell ref="A89:F89"/>
    <mergeCell ref="A58:F58"/>
    <mergeCell ref="A40:F40"/>
    <mergeCell ref="A4:F4"/>
    <mergeCell ref="A53:F53"/>
    <mergeCell ref="A69:F69"/>
  </mergeCells>
  <dataValidations count="1">
    <dataValidation sqref="B46" showDropDown="0" showInputMessage="0" showErrorMessage="0" allowBlank="0" type="list">
      <formula1>"1/4″,5/16″,3/8″,1/2″"</formula1>
    </dataValidation>
  </dataValidations>
  <pageMargins left="0.75" right="0.75" top="1" bottom="1" header="0.5" footer="0.5"/>
  <pageSetup orientation="portrait" fitToWidth="1"/>
  <headerFooter>
    <oddHeader>&amp;C&amp;11 Highway 38 Solutions</oddHeader>
    <oddFooter/>
    <evenHeader/>
    <evenFooter/>
    <firstHeader/>
    <firstFooter/>
  </headerFooter>
  <drawing xmlns:r="http://schemas.openxmlformats.org/officeDocument/2006/relationships" r:id="rId1"/>
</worksheet>
</file>

<file path=xl/worksheets/sheet16.xml><?xml version="1.0" encoding="utf-8"?>
<worksheet xmlns="http://schemas.openxmlformats.org/spreadsheetml/2006/main">
  <sheetPr>
    <outlinePr summaryBelow="1" summaryRight="1"/>
    <pageSetUpPr fitToPage="1"/>
  </sheetPr>
  <dimension ref="A1:F59"/>
  <sheetViews>
    <sheetView workbookViewId="0">
      <selection activeCell="A1" sqref="A1"/>
    </sheetView>
  </sheetViews>
  <sheetFormatPr baseColWidth="8" defaultRowHeight="15"/>
  <cols>
    <col width="42" customWidth="1" min="1" max="1"/>
    <col width="18" customWidth="1" min="2" max="2"/>
    <col width="62" customWidth="1" min="3" max="3"/>
    <col width="16" customWidth="1" min="4" max="4"/>
    <col width="16" customWidth="1" min="5" max="5"/>
    <col width="16" customWidth="1" min="6" max="6"/>
  </cols>
  <sheetData>
    <row r="1" ht="24" customHeight="1">
      <c r="A1" s="6" t="inlineStr">
        <is>
          <t>CARPENTRY &amp; FRAMING - Board feet, studs, sheet goods &amp; rafters</t>
        </is>
      </c>
    </row>
    <row r="2">
      <c r="A2" s="7" t="inlineStr">
        <is>
          <t>The lumber math: board feet for the pile, studs for the wall, sheets for the deck, and the rafter length off the pitch.</t>
        </is>
      </c>
    </row>
    <row r="4" ht="20" customHeight="1">
      <c r="A4" s="8" t="inlineStr">
        <is>
          <t>1 - BOARD FEET &amp; LUMBER COST</t>
        </is>
      </c>
    </row>
    <row r="5">
      <c r="A5" s="9" t="inlineStr">
        <is>
          <t>Thickness (in)</t>
        </is>
      </c>
      <c r="B5" s="27" t="n">
        <v>2</v>
      </c>
    </row>
    <row r="6">
      <c r="A6" s="9" t="inlineStr">
        <is>
          <t>Width (in)</t>
        </is>
      </c>
      <c r="B6" s="27" t="n">
        <v>6</v>
      </c>
    </row>
    <row r="7">
      <c r="A7" s="9" t="inlineStr">
        <is>
          <t>Length (ft)</t>
        </is>
      </c>
      <c r="B7" s="18" t="n">
        <v>8</v>
      </c>
    </row>
    <row r="8">
      <c r="A8" s="9" t="inlineStr">
        <is>
          <t>Pieces</t>
        </is>
      </c>
      <c r="B8" s="10" t="n">
        <v>10</v>
      </c>
    </row>
    <row r="9">
      <c r="A9" s="9" t="inlineStr">
        <is>
          <t>Price per board foot ($)</t>
        </is>
      </c>
      <c r="B9" s="11" t="n">
        <v>3.5</v>
      </c>
    </row>
    <row r="10">
      <c r="A10" s="9" t="inlineStr">
        <is>
          <t>Board feet per piece</t>
        </is>
      </c>
      <c r="B10" s="21">
        <f>B5*B6*(B7*12)/144</f>
        <v/>
      </c>
    </row>
    <row r="11">
      <c r="A11" s="14" t="inlineStr">
        <is>
          <t>TOTAL BOARD FEET</t>
        </is>
      </c>
      <c r="B11" s="22">
        <f>B10*B8</f>
        <v/>
      </c>
    </row>
    <row r="12">
      <c r="A12" s="14" t="inlineStr">
        <is>
          <t>Lumber cost</t>
        </is>
      </c>
      <c r="B12" s="15">
        <f>B11*B9</f>
        <v/>
      </c>
    </row>
    <row r="13" ht="28" customHeight="1">
      <c r="A13" s="17" t="inlineStr">
        <is>
          <t>A board foot is 144 cubic inches of wood - the same as a 1 x 12 one foot long. Run the size you are actually buying: a 2 x 6 is really 1.5 x 5.5 in dressed, and board feet are sold on the nominal size at most yards.</t>
        </is>
      </c>
    </row>
    <row r="15" ht="20" customHeight="1">
      <c r="A15" s="8" t="inlineStr">
        <is>
          <t>2 - WALL STUDS</t>
        </is>
      </c>
    </row>
    <row r="16">
      <c r="A16" s="9" t="inlineStr">
        <is>
          <t>Wall length (ft)</t>
        </is>
      </c>
      <c r="B16" s="18" t="n">
        <v>24</v>
      </c>
    </row>
    <row r="17">
      <c r="A17" s="9" t="inlineStr">
        <is>
          <t>Stud spacing (in, on center)</t>
        </is>
      </c>
      <c r="B17" s="10" t="n">
        <v>16</v>
      </c>
      <c r="C17" s="24" t="inlineStr">
        <is>
          <t>16 or 24 are the usual spacings</t>
        </is>
      </c>
    </row>
    <row r="18">
      <c r="A18" s="9" t="inlineStr">
        <is>
          <t>Extra for corners, jacks &amp; waste</t>
        </is>
      </c>
      <c r="B18" s="12" t="n">
        <v>0.15</v>
      </c>
      <c r="C18" s="24" t="inlineStr">
        <is>
          <t>Estimate - corners, king/jack studs and culls; 10-20% is the usual allowance</t>
        </is>
      </c>
    </row>
    <row r="19">
      <c r="A19" s="9" t="inlineStr">
        <is>
          <t>Studs in the run (one per mark, plus one)</t>
        </is>
      </c>
      <c r="B19" s="20">
        <f>IF(B17&gt;0,CEILING(B16*12/B17,1)+1,0)</f>
        <v/>
      </c>
    </row>
    <row r="20">
      <c r="A20" s="14" t="inlineStr">
        <is>
          <t>STUDS TO BUY</t>
        </is>
      </c>
      <c r="B20" s="26">
        <f>CEILING(B19*(1+B18),1)</f>
        <v/>
      </c>
    </row>
    <row r="21" ht="28" customHeight="1">
      <c r="A21" s="17" t="inlineStr">
        <is>
          <t>Plates are figured off the wall length, not the stud count: one bottom plate and (usually) a doubled top plate run the full length of the wall.</t>
        </is>
      </c>
    </row>
    <row r="23" ht="20" customHeight="1">
      <c r="A23" s="8" t="inlineStr">
        <is>
          <t>3 - SHEET GOODS - PLYWOOD &amp; OSB</t>
        </is>
      </c>
    </row>
    <row r="24">
      <c r="A24" s="9" t="inlineStr">
        <is>
          <t>Area length (ft)</t>
        </is>
      </c>
      <c r="B24" s="18" t="n">
        <v>24</v>
      </c>
    </row>
    <row r="25">
      <c r="A25" s="9" t="inlineStr">
        <is>
          <t>Area width (ft)</t>
        </is>
      </c>
      <c r="B25" s="18" t="n">
        <v>12</v>
      </c>
    </row>
    <row r="26">
      <c r="A26" s="9" t="inlineStr">
        <is>
          <t>Sheet length (ft)</t>
        </is>
      </c>
      <c r="B26" s="18" t="n">
        <v>8</v>
      </c>
    </row>
    <row r="27">
      <c r="A27" s="9" t="inlineStr">
        <is>
          <t>Sheet width (ft)</t>
        </is>
      </c>
      <c r="B27" s="18" t="n">
        <v>4</v>
      </c>
    </row>
    <row r="28">
      <c r="A28" s="9" t="inlineStr">
        <is>
          <t>Waste &amp; cuts</t>
        </is>
      </c>
      <c r="B28" s="12" t="n">
        <v>0.1</v>
      </c>
    </row>
    <row r="29">
      <c r="A29" s="9" t="inlineStr">
        <is>
          <t>Area to cover (sq ft)</t>
        </is>
      </c>
      <c r="B29" s="20">
        <f>B24*B25</f>
        <v/>
      </c>
    </row>
    <row r="30">
      <c r="A30" s="14" t="inlineStr">
        <is>
          <t>SHEETS TO BUY</t>
        </is>
      </c>
      <c r="B30" s="26">
        <f>IF(B26*B27&gt;0,CEILING(B29*(1+B28)/(B26*B27),1),0)</f>
        <v/>
      </c>
    </row>
    <row r="31" ht="28" customHeight="1">
      <c r="A31" s="17" t="inlineStr">
        <is>
          <t>Full sheets only. On straight runs the cutoff from one row starts the next, which is why 10% waste usually holds; roofs and stairs eat more.</t>
        </is>
      </c>
    </row>
    <row r="33" ht="20" customHeight="1">
      <c r="A33" s="8" t="inlineStr">
        <is>
          <t>4 - COMMON RAFTER LENGTH</t>
        </is>
      </c>
    </row>
    <row r="34">
      <c r="A34" s="9" t="inlineStr">
        <is>
          <t>Building width / total span (ft)</t>
        </is>
      </c>
      <c r="B34" s="18" t="n">
        <v>24</v>
      </c>
    </row>
    <row r="35">
      <c r="A35" s="9" t="inlineStr">
        <is>
          <t>Pitch (rise, in per 12 in of run)</t>
        </is>
      </c>
      <c r="B35" s="18" t="n">
        <v>6</v>
      </c>
    </row>
    <row r="36">
      <c r="A36" s="9" t="inlineStr">
        <is>
          <t>Overhang (in, horizontal)</t>
        </is>
      </c>
      <c r="B36" s="18" t="n">
        <v>12</v>
      </c>
    </row>
    <row r="37">
      <c r="A37" s="9" t="inlineStr">
        <is>
          <t>Ridge board thickness (in)</t>
        </is>
      </c>
      <c r="B37" s="27" t="n">
        <v>1.5</v>
      </c>
    </row>
    <row r="38">
      <c r="A38" s="9" t="inlineStr">
        <is>
          <t>Slope factor (per ft of run)</t>
        </is>
      </c>
      <c r="B38" s="86">
        <f>SQRT(144+B35^2)/12</f>
        <v/>
      </c>
    </row>
    <row r="39">
      <c r="A39" s="9" t="inlineStr">
        <is>
          <t>Run to ridge center (ft)</t>
        </is>
      </c>
      <c r="B39" s="21">
        <f>B34/2</f>
        <v/>
      </c>
    </row>
    <row r="40">
      <c r="A40" s="14" t="inlineStr">
        <is>
          <t>RAFTER LENGTH (ft, ridge to tail)</t>
        </is>
      </c>
      <c r="B40" s="22">
        <f>(B39-B37/24+B36/12)*B38</f>
        <v/>
      </c>
    </row>
    <row r="41">
      <c r="A41" s="9" t="inlineStr">
        <is>
          <t>Rafter length (in)</t>
        </is>
      </c>
      <c r="B41" s="33">
        <f>B40*12</f>
        <v/>
      </c>
    </row>
    <row r="42" ht="28" customHeight="1">
      <c r="A42" s="17" t="inlineStr">
        <is>
          <t>Length runs along the top edge, plumb cut at the ridge to plumb cut at the tail, before the birdsmouth is notched. Half the ridge board comes off the run - the ridge/24 in the math is that deduction, measured along the slope.</t>
        </is>
      </c>
    </row>
    <row r="44" ht="20" customHeight="1">
      <c r="A44" s="8" t="inlineStr">
        <is>
          <t>5 - QUICK REFERENCE - PITCH MULTIPLIERS &amp; ANGLES</t>
        </is>
      </c>
    </row>
    <row r="45" ht="28" customHeight="1">
      <c r="A45" s="17" t="inlineStr">
        <is>
          <t>Multiply the horizontal run by the factor to get the slope length. Pure geometry: factor = SQRT(144 + rise^2) / 12, angle = ATAN(rise / 12). Real lumber sizes (a 2 x 4 is 1.5 x 3.5) are on the Standard Reference sheet.</t>
        </is>
      </c>
    </row>
    <row r="46">
      <c r="A46" s="31" t="inlineStr">
        <is>
          <t>Rise (per 12 in)</t>
        </is>
      </c>
      <c r="B46" s="31" t="inlineStr">
        <is>
          <t>Slope factor</t>
        </is>
      </c>
      <c r="C46" s="31" t="inlineStr">
        <is>
          <t>Slope angle (deg)</t>
        </is>
      </c>
      <c r="D46" s="31" t="inlineStr">
        <is>
          <t>Common use</t>
        </is>
      </c>
    </row>
    <row r="47">
      <c r="A47" s="30" t="n">
        <v>1</v>
      </c>
      <c r="B47" s="87">
        <f>SQRT(144+A47^2)/12</f>
        <v/>
      </c>
      <c r="C47" s="88">
        <f>DEGREES(ATAN(A47/12))</f>
        <v/>
      </c>
      <c r="D47" s="30" t="inlineStr"/>
    </row>
    <row r="48">
      <c r="A48" s="30" t="n">
        <v>2</v>
      </c>
      <c r="B48" s="87">
        <f>SQRT(144+A48^2)/12</f>
        <v/>
      </c>
      <c r="C48" s="88">
        <f>DEGREES(ATAN(A48/12))</f>
        <v/>
      </c>
      <c r="D48" s="30" t="inlineStr">
        <is>
          <t>Very low slope</t>
        </is>
      </c>
    </row>
    <row r="49">
      <c r="A49" s="30" t="n">
        <v>3</v>
      </c>
      <c r="B49" s="87">
        <f>SQRT(144+A49^2)/12</f>
        <v/>
      </c>
      <c r="C49" s="88">
        <f>DEGREES(ATAN(A49/12))</f>
        <v/>
      </c>
      <c r="D49" s="30" t="inlineStr"/>
    </row>
    <row r="50">
      <c r="A50" s="30" t="n">
        <v>4</v>
      </c>
      <c r="B50" s="87">
        <f>SQRT(144+A50^2)/12</f>
        <v/>
      </c>
      <c r="C50" s="88">
        <f>DEGREES(ATAN(A50/12))</f>
        <v/>
      </c>
      <c r="D50" s="30" t="inlineStr">
        <is>
          <t>Porch / shed roof</t>
        </is>
      </c>
    </row>
    <row r="51">
      <c r="A51" s="30" t="n">
        <v>5</v>
      </c>
      <c r="B51" s="87">
        <f>SQRT(144+A51^2)/12</f>
        <v/>
      </c>
      <c r="C51" s="88">
        <f>DEGREES(ATAN(A51/12))</f>
        <v/>
      </c>
      <c r="D51" s="30" t="inlineStr"/>
    </row>
    <row r="52">
      <c r="A52" s="30" t="n">
        <v>6</v>
      </c>
      <c r="B52" s="87">
        <f>SQRT(144+A52^2)/12</f>
        <v/>
      </c>
      <c r="C52" s="88">
        <f>DEGREES(ATAN(A52/12))</f>
        <v/>
      </c>
      <c r="D52" s="30" t="inlineStr">
        <is>
          <t>Common house roof</t>
        </is>
      </c>
    </row>
    <row r="53">
      <c r="A53" s="30" t="n">
        <v>7</v>
      </c>
      <c r="B53" s="87">
        <f>SQRT(144+A53^2)/12</f>
        <v/>
      </c>
      <c r="C53" s="88">
        <f>DEGREES(ATAN(A53/12))</f>
        <v/>
      </c>
      <c r="D53" s="30" t="inlineStr"/>
    </row>
    <row r="54">
      <c r="A54" s="30" t="n">
        <v>8</v>
      </c>
      <c r="B54" s="87">
        <f>SQRT(144+A54^2)/12</f>
        <v/>
      </c>
      <c r="C54" s="88">
        <f>DEGREES(ATAN(A54/12))</f>
        <v/>
      </c>
      <c r="D54" s="30" t="inlineStr">
        <is>
          <t>Steep roof</t>
        </is>
      </c>
    </row>
    <row r="55">
      <c r="A55" s="30" t="n">
        <v>9</v>
      </c>
      <c r="B55" s="87">
        <f>SQRT(144+A55^2)/12</f>
        <v/>
      </c>
      <c r="C55" s="88">
        <f>DEGREES(ATAN(A55/12))</f>
        <v/>
      </c>
      <c r="D55" s="30" t="inlineStr"/>
    </row>
    <row r="56">
      <c r="A56" s="30" t="n">
        <v>10</v>
      </c>
      <c r="B56" s="87">
        <f>SQRT(144+A56^2)/12</f>
        <v/>
      </c>
      <c r="C56" s="88">
        <f>DEGREES(ATAN(A56/12))</f>
        <v/>
      </c>
      <c r="D56" s="30" t="inlineStr"/>
    </row>
    <row r="57">
      <c r="A57" s="30" t="n">
        <v>11</v>
      </c>
      <c r="B57" s="87">
        <f>SQRT(144+A57^2)/12</f>
        <v/>
      </c>
      <c r="C57" s="88">
        <f>DEGREES(ATAN(A57/12))</f>
        <v/>
      </c>
      <c r="D57" s="30" t="inlineStr"/>
    </row>
    <row r="58">
      <c r="A58" s="30" t="n">
        <v>12</v>
      </c>
      <c r="B58" s="87">
        <f>SQRT(144+A58^2)/12</f>
        <v/>
      </c>
      <c r="C58" s="88">
        <f>DEGREES(ATAN(A58/12))</f>
        <v/>
      </c>
      <c r="D58" s="30" t="inlineStr">
        <is>
          <t>45 degrees - full pitch</t>
        </is>
      </c>
    </row>
    <row r="59" ht="28" customHeight="1">
      <c r="A59" s="17" t="inlineStr">
        <is>
          <t>Multipliers and angles are exact geometry. Rafter sizing, spans and snow load come from the code span tables for your species and grade - this sheet does lengths, not structural design.</t>
        </is>
      </c>
    </row>
  </sheetData>
  <mergeCells count="13">
    <mergeCell ref="A42:C42"/>
    <mergeCell ref="A13:C13"/>
    <mergeCell ref="A33:C33"/>
    <mergeCell ref="A1:C1"/>
    <mergeCell ref="A23:C23"/>
    <mergeCell ref="A44:F44"/>
    <mergeCell ref="A31:C31"/>
    <mergeCell ref="A45:F45"/>
    <mergeCell ref="A21:C21"/>
    <mergeCell ref="A59:F59"/>
    <mergeCell ref="A15:C15"/>
    <mergeCell ref="A4:C4"/>
    <mergeCell ref="A2:C2"/>
  </mergeCells>
  <printOptions horizontalCentered="1"/>
  <pageMargins left="0.75" right="0.75" top="1" bottom="1" header="0.5" footer="0.5"/>
  <pageSetup orientation="portrait" fitToWidth="1"/>
  <drawing xmlns:r="http://schemas.openxmlformats.org/officeDocument/2006/relationships" r:id="rId1"/>
</worksheet>
</file>

<file path=xl/worksheets/sheet17.xml><?xml version="1.0" encoding="utf-8"?>
<worksheet xmlns="http://schemas.openxmlformats.org/spreadsheetml/2006/main">
  <sheetPr>
    <outlinePr summaryBelow="1" summaryRight="1"/>
    <pageSetUpPr fitToPage="1"/>
  </sheetPr>
  <dimension ref="A1:F57"/>
  <sheetViews>
    <sheetView workbookViewId="0">
      <selection activeCell="A1" sqref="A1"/>
    </sheetView>
  </sheetViews>
  <sheetFormatPr baseColWidth="8" defaultRowHeight="15"/>
  <cols>
    <col width="42" customWidth="1" min="1" max="1"/>
    <col width="18" customWidth="1" min="2" max="2"/>
    <col width="62" customWidth="1" min="3" max="3"/>
    <col width="16" customWidth="1" min="4" max="4"/>
    <col width="16" customWidth="1" min="5" max="5"/>
    <col width="16" customWidth="1" min="6" max="6"/>
  </cols>
  <sheetData>
    <row r="1" ht="24" customHeight="1">
      <c r="A1" s="6" t="inlineStr">
        <is>
          <t>CONCRETE &amp; MASONRY - Yards, bags, block &amp; brick</t>
        </is>
      </c>
    </row>
    <row r="2">
      <c r="A2" s="7" t="inlineStr">
        <is>
          <t>Slabs and footings by the yard or by the bag, and block and brick counts for the wall - quantities for the order, not the design.</t>
        </is>
      </c>
    </row>
    <row r="4" ht="20" customHeight="1">
      <c r="A4" s="8" t="inlineStr">
        <is>
          <t>1 - SLAB - READY-MIX YARDS &amp; BAG COUNT</t>
        </is>
      </c>
    </row>
    <row r="5">
      <c r="A5" s="9" t="inlineStr">
        <is>
          <t>Length (ft)</t>
        </is>
      </c>
      <c r="B5" s="18" t="n">
        <v>20</v>
      </c>
    </row>
    <row r="6">
      <c r="A6" s="9" t="inlineStr">
        <is>
          <t>Width (ft)</t>
        </is>
      </c>
      <c r="B6" s="18" t="n">
        <v>12</v>
      </c>
    </row>
    <row r="7">
      <c r="A7" s="9" t="inlineStr">
        <is>
          <t>Thickness (in)</t>
        </is>
      </c>
      <c r="B7" s="18" t="n">
        <v>4</v>
      </c>
    </row>
    <row r="8">
      <c r="A8" s="9" t="inlineStr">
        <is>
          <t>Extra for waste &amp; uneven grade</t>
        </is>
      </c>
      <c r="B8" s="12" t="n">
        <v>0.1</v>
      </c>
    </row>
    <row r="9">
      <c r="A9" s="9" t="inlineStr">
        <is>
          <t>Exact volume (cubic yards, no waste)</t>
        </is>
      </c>
      <c r="B9" s="21">
        <f>B5*B6*(B7/12)/27</f>
        <v/>
      </c>
    </row>
    <row r="10">
      <c r="A10" s="14" t="inlineStr">
        <is>
          <t>CONCRETE TO ORDER (cubic yards)</t>
        </is>
      </c>
      <c r="B10" s="22">
        <f>B9*(1+B8)</f>
        <v/>
      </c>
    </row>
    <row r="11">
      <c r="A11" s="9" t="inlineStr">
        <is>
          <t>Volume with waste (cubic ft)</t>
        </is>
      </c>
      <c r="B11" s="21">
        <f>B5*B6*(B7/12)*(1+B8)</f>
        <v/>
      </c>
    </row>
    <row r="12">
      <c r="A12" s="9" t="inlineStr">
        <is>
          <t>Or 80-lb bags (0.6 cu ft each)</t>
        </is>
      </c>
      <c r="B12" s="20">
        <f>CEILING(B11/0.6,1)</f>
        <v/>
      </c>
    </row>
    <row r="13">
      <c r="A13" s="9" t="inlineStr">
        <is>
          <t>Or 60-lb bags (0.45 cu ft each)</t>
        </is>
      </c>
      <c r="B13" s="20">
        <f>CEILING(B11/0.45,1)</f>
        <v/>
      </c>
    </row>
    <row r="14">
      <c r="A14" s="9" t="inlineStr">
        <is>
          <t>Or 40-lb bags (0.3 cu ft each)</t>
        </is>
      </c>
      <c r="B14" s="20">
        <f>CEILING(B11/0.3,1)</f>
        <v/>
      </c>
    </row>
    <row r="15" ht="28" customHeight="1">
      <c r="A15" s="17" t="inlineStr">
        <is>
          <t>Bag yields are the mix makers' published figures: an 80-lb bag makes about 0.6 cubic feet of concrete, a 60-lb about 0.45, a 40-lb about 0.30. Past a yard or so, a ready-mix truck usually beats a day of mixing.</t>
        </is>
      </c>
    </row>
    <row r="17" ht="20" customHeight="1">
      <c r="A17" s="8" t="inlineStr">
        <is>
          <t>2 - FOOTING - TRENCH RUN</t>
        </is>
      </c>
    </row>
    <row r="18">
      <c r="A18" s="9" t="inlineStr">
        <is>
          <t>Trench length, whole run (ft)</t>
        </is>
      </c>
      <c r="B18" s="18" t="n">
        <v>40</v>
      </c>
    </row>
    <row r="19">
      <c r="A19" s="9" t="inlineStr">
        <is>
          <t>Trench width (in)</t>
        </is>
      </c>
      <c r="B19" s="18" t="n">
        <v>16</v>
      </c>
    </row>
    <row r="20">
      <c r="A20" s="9" t="inlineStr">
        <is>
          <t>Trench depth (in)</t>
        </is>
      </c>
      <c r="B20" s="18" t="n">
        <v>8</v>
      </c>
    </row>
    <row r="21">
      <c r="A21" s="9" t="inlineStr">
        <is>
          <t>Extra for waste &amp; uneven trench</t>
        </is>
      </c>
      <c r="B21" s="12" t="n">
        <v>0.1</v>
      </c>
    </row>
    <row r="22">
      <c r="A22" s="9" t="inlineStr">
        <is>
          <t>Exact volume (cubic ft)</t>
        </is>
      </c>
      <c r="B22" s="21">
        <f>B18*(B19/12)*(B20/12)</f>
        <v/>
      </c>
    </row>
    <row r="23">
      <c r="A23" s="9" t="inlineStr">
        <is>
          <t>Exact volume (cubic yards)</t>
        </is>
      </c>
      <c r="B23" s="21">
        <f>B22/27</f>
        <v/>
      </c>
    </row>
    <row r="24">
      <c r="A24" s="14" t="inlineStr">
        <is>
          <t>CONCRETE TO ORDER (cubic yards)</t>
        </is>
      </c>
      <c r="B24" s="22">
        <f>B23*(1+B21)</f>
        <v/>
      </c>
    </row>
    <row r="25">
      <c r="A25" s="9" t="inlineStr">
        <is>
          <t>Or 80-lb bags (0.6 cu ft each)</t>
        </is>
      </c>
      <c r="B25" s="20">
        <f>CEILING(B22*(1+B21)/0.6,1)</f>
        <v/>
      </c>
    </row>
    <row r="26" ht="28" customHeight="1">
      <c r="A26" s="17" t="inlineStr">
        <is>
          <t>Figure the whole trench in one run of length. Hand-dug trenches wander wider than the plan - the waste extra is what keeps the last ten feet from coming up short. Frost depth is a code question, not a quantity question.</t>
        </is>
      </c>
    </row>
    <row r="28" ht="20" customHeight="1">
      <c r="A28" s="8" t="inlineStr">
        <is>
          <t>3 - CONCRETE BLOCK COUNT - 8 x 16</t>
        </is>
      </c>
    </row>
    <row r="29">
      <c r="A29" s="9" t="inlineStr">
        <is>
          <t>Wall length (ft)</t>
        </is>
      </c>
      <c r="B29" s="18" t="n">
        <v>40</v>
      </c>
    </row>
    <row r="30">
      <c r="A30" s="9" t="inlineStr">
        <is>
          <t>Wall height (ft)</t>
        </is>
      </c>
      <c r="B30" s="18" t="n">
        <v>8</v>
      </c>
    </row>
    <row r="31">
      <c r="A31" s="9" t="inlineStr">
        <is>
          <t>Waste &amp; breakage</t>
        </is>
      </c>
      <c r="B31" s="12" t="n">
        <v>0.05</v>
      </c>
    </row>
    <row r="32">
      <c r="A32" s="9" t="inlineStr">
        <is>
          <t>Wall area (sq ft)</t>
        </is>
      </c>
      <c r="B32" s="20">
        <f>B29*B30</f>
        <v/>
      </c>
    </row>
    <row r="33">
      <c r="A33" s="9" t="inlineStr">
        <is>
          <t>Blocks before waste (1.125 per sq ft)</t>
        </is>
      </c>
      <c r="B33" s="33">
        <f>B32*1.125</f>
        <v/>
      </c>
    </row>
    <row r="34">
      <c r="A34" s="14" t="inlineStr">
        <is>
          <t>BLOCKS TO BUY</t>
        </is>
      </c>
      <c r="B34" s="26">
        <f>CEILING(B33*(1+B31),1)</f>
        <v/>
      </c>
    </row>
    <row r="35" ht="28" customHeight="1">
      <c r="A35" s="17" t="inlineStr">
        <is>
          <t>A standard 8 x 16 block laid with a 3/8-in mortar joint covers 1.125 blocks per square foot of wall - the factor the block yards quote. Openings: measure them and subtract their area from the wall before you run it.</t>
        </is>
      </c>
    </row>
    <row r="37" ht="20" customHeight="1">
      <c r="A37" s="8" t="inlineStr">
        <is>
          <t>4 - BRICK COUNT - MODULAR, SINGLE WYTHE</t>
        </is>
      </c>
    </row>
    <row r="38">
      <c r="A38" s="9" t="inlineStr">
        <is>
          <t>Wall length (ft)</t>
        </is>
      </c>
      <c r="B38" s="18" t="n">
        <v>20</v>
      </c>
    </row>
    <row r="39">
      <c r="A39" s="9" t="inlineStr">
        <is>
          <t>Wall height (ft)</t>
        </is>
      </c>
      <c r="B39" s="18" t="n">
        <v>8</v>
      </c>
    </row>
    <row r="40">
      <c r="A40" s="9" t="inlineStr">
        <is>
          <t>Waste &amp; breakage</t>
        </is>
      </c>
      <c r="B40" s="12" t="n">
        <v>0.05</v>
      </c>
    </row>
    <row r="41">
      <c r="A41" s="9" t="inlineStr">
        <is>
          <t>Wall area (sq ft)</t>
        </is>
      </c>
      <c r="B41" s="20">
        <f>B38*B39</f>
        <v/>
      </c>
    </row>
    <row r="42">
      <c r="A42" s="9" t="inlineStr">
        <is>
          <t>Bricks before waste (6.55 per sq ft)</t>
        </is>
      </c>
      <c r="B42" s="33">
        <f>B41*6.55</f>
        <v/>
      </c>
    </row>
    <row r="43">
      <c r="A43" s="14" t="inlineStr">
        <is>
          <t>BRICKS TO BUY</t>
        </is>
      </c>
      <c r="B43" s="26">
        <f>CEILING(B42*(1+B40),1)</f>
        <v/>
      </c>
    </row>
    <row r="44" ht="28" customHeight="1">
      <c r="A44" s="17" t="inlineStr">
        <is>
          <t>Modular brick (2-1/4 x 7-5/8 in) with 3/8-in joints runs about 6.55 bricks per square foot - the standard estimating figure. Queen, king and engineered sizes all run different; for those, count off the manufacturer's cube sheet.</t>
        </is>
      </c>
    </row>
    <row r="46" ht="20" customHeight="1">
      <c r="A46" s="8" t="inlineStr">
        <is>
          <t>5 - QUICK REFERENCE - WHAT A CUBIC YARD COVERS</t>
        </is>
      </c>
    </row>
    <row r="47" ht="28" customHeight="1">
      <c r="A47" s="17" t="inlineStr">
        <is>
          <t>Exact arithmetic: one cubic yard is 27 cubic feet, so coverage = 324 / thickness in inches. Read it backwards, too - yards per 100 sq ft is what the order desk wants.</t>
        </is>
      </c>
    </row>
    <row r="48">
      <c r="A48" s="31" t="inlineStr">
        <is>
          <t>Slab thickness (in)</t>
        </is>
      </c>
      <c r="B48" s="31" t="inlineStr">
        <is>
          <t>Coverage per yard (sq ft)</t>
        </is>
      </c>
      <c r="C48" s="31" t="inlineStr">
        <is>
          <t>Yards per 100 sq ft</t>
        </is>
      </c>
    </row>
    <row r="49">
      <c r="A49" s="30" t="n">
        <v>2</v>
      </c>
      <c r="B49" s="88">
        <f>324/A49</f>
        <v/>
      </c>
      <c r="C49" s="89">
        <f>100/B49</f>
        <v/>
      </c>
    </row>
    <row r="50">
      <c r="A50" s="30" t="n">
        <v>3</v>
      </c>
      <c r="B50" s="88">
        <f>324/A50</f>
        <v/>
      </c>
      <c r="C50" s="89">
        <f>100/B50</f>
        <v/>
      </c>
    </row>
    <row r="51">
      <c r="A51" s="30" t="n">
        <v>4</v>
      </c>
      <c r="B51" s="88">
        <f>324/A51</f>
        <v/>
      </c>
      <c r="C51" s="89">
        <f>100/B51</f>
        <v/>
      </c>
    </row>
    <row r="52">
      <c r="A52" s="30" t="n">
        <v>5</v>
      </c>
      <c r="B52" s="88">
        <f>324/A52</f>
        <v/>
      </c>
      <c r="C52" s="89">
        <f>100/B52</f>
        <v/>
      </c>
    </row>
    <row r="53">
      <c r="A53" s="30" t="n">
        <v>6</v>
      </c>
      <c r="B53" s="88">
        <f>324/A53</f>
        <v/>
      </c>
      <c r="C53" s="89">
        <f>100/B53</f>
        <v/>
      </c>
    </row>
    <row r="54">
      <c r="A54" s="30" t="n">
        <v>8</v>
      </c>
      <c r="B54" s="88">
        <f>324/A54</f>
        <v/>
      </c>
      <c r="C54" s="89">
        <f>100/B54</f>
        <v/>
      </c>
    </row>
    <row r="55">
      <c r="A55" s="30" t="n">
        <v>10</v>
      </c>
      <c r="B55" s="88">
        <f>324/A55</f>
        <v/>
      </c>
      <c r="C55" s="89">
        <f>100/B55</f>
        <v/>
      </c>
    </row>
    <row r="56">
      <c r="A56" s="30" t="n">
        <v>12</v>
      </c>
      <c r="B56" s="88">
        <f>324/A56</f>
        <v/>
      </c>
      <c r="C56" s="89">
        <f>100/B56</f>
        <v/>
      </c>
    </row>
    <row r="57" ht="28" customHeight="1">
      <c r="A57" s="17" t="inlineStr">
        <is>
          <t>Coverage is exact arithmetic. Strength, reinforcement, base and frost depth are soil and code questions - this sheet does quantities, not design.</t>
        </is>
      </c>
    </row>
  </sheetData>
  <mergeCells count="13">
    <mergeCell ref="A28:C28"/>
    <mergeCell ref="A47:F47"/>
    <mergeCell ref="A44:C44"/>
    <mergeCell ref="A46:F46"/>
    <mergeCell ref="A1:C1"/>
    <mergeCell ref="A37:C37"/>
    <mergeCell ref="A17:C17"/>
    <mergeCell ref="A35:C35"/>
    <mergeCell ref="A15:C15"/>
    <mergeCell ref="A4:C4"/>
    <mergeCell ref="A26:C26"/>
    <mergeCell ref="A2:C2"/>
    <mergeCell ref="A57:F57"/>
  </mergeCells>
  <printOptions horizontalCentered="1"/>
  <pageMargins left="0.75" right="0.75" top="1" bottom="1" header="0.5" footer="0.5"/>
  <pageSetup orientation="portrait" fitToWidth="1"/>
  <drawing xmlns:r="http://schemas.openxmlformats.org/officeDocument/2006/relationships" r:id="rId1"/>
</worksheet>
</file>

<file path=xl/worksheets/sheet18.xml><?xml version="1.0" encoding="utf-8"?>
<worksheet xmlns="http://schemas.openxmlformats.org/spreadsheetml/2006/main">
  <sheetPr>
    <outlinePr summaryBelow="1" summaryRight="1"/>
    <pageSetUpPr fitToPage="1"/>
  </sheetPr>
  <dimension ref="A1:F40"/>
  <sheetViews>
    <sheetView workbookViewId="0">
      <selection activeCell="A1" sqref="A1"/>
    </sheetView>
  </sheetViews>
  <sheetFormatPr baseColWidth="8" defaultRowHeight="15"/>
  <cols>
    <col width="42" customWidth="1" min="1" max="1"/>
    <col width="18" customWidth="1" min="2" max="2"/>
    <col width="62" customWidth="1" min="3" max="3"/>
    <col width="16" customWidth="1" min="4" max="4"/>
    <col width="16" customWidth="1" min="5" max="5"/>
    <col width="16" customWidth="1" min="6" max="6"/>
  </cols>
  <sheetData>
    <row r="1" ht="24" customHeight="1">
      <c r="A1" s="6" t="inlineStr">
        <is>
          <t>ROOFING - Squares, bundles &amp; the pitch multiplier</t>
        </is>
      </c>
    </row>
    <row r="2">
      <c r="A2" s="7" t="inlineStr">
        <is>
          <t>From the footprint and the pitch to the squares on the roof and the bundles on the order - plain gable math.</t>
        </is>
      </c>
    </row>
    <row r="4" ht="20" customHeight="1">
      <c r="A4" s="8" t="inlineStr">
        <is>
          <t>1 - ROOF AREA &amp; SQUARES - PLAIN GABLE</t>
        </is>
      </c>
    </row>
    <row r="5">
      <c r="A5" s="9" t="inlineStr">
        <is>
          <t>Building length (ft)</t>
        </is>
      </c>
      <c r="B5" s="18" t="n">
        <v>40</v>
      </c>
    </row>
    <row r="6">
      <c r="A6" s="9" t="inlineStr">
        <is>
          <t>Building width (ft)</t>
        </is>
      </c>
      <c r="B6" s="18" t="n">
        <v>28</v>
      </c>
    </row>
    <row r="7">
      <c r="A7" s="9" t="inlineStr">
        <is>
          <t>Pitch (rise, in per 12 in of run)</t>
        </is>
      </c>
      <c r="B7" s="18" t="n">
        <v>6</v>
      </c>
    </row>
    <row r="8">
      <c r="A8" s="9" t="inlineStr">
        <is>
          <t>Eave overhang (in, horizontal)</t>
        </is>
      </c>
      <c r="B8" s="18" t="n">
        <v>12</v>
      </c>
    </row>
    <row r="9">
      <c r="A9" s="9" t="inlineStr">
        <is>
          <t>Rake overhang (in, each end)</t>
        </is>
      </c>
      <c r="B9" s="18" t="n">
        <v>12</v>
      </c>
    </row>
    <row r="10">
      <c r="A10" s="9" t="inlineStr">
        <is>
          <t>Pitch multiplier</t>
        </is>
      </c>
      <c r="B10" s="86">
        <f>SQRT(144+B7^2)/12</f>
        <v/>
      </c>
    </row>
    <row r="11">
      <c r="A11" s="9" t="inlineStr">
        <is>
          <t>Roof length incl. rake overhang (ft)</t>
        </is>
      </c>
      <c r="B11" s="21">
        <f>B5+2*B9/12</f>
        <v/>
      </c>
    </row>
    <row r="12">
      <c r="A12" s="9" t="inlineStr">
        <is>
          <t>Slope length, one side (ft)</t>
        </is>
      </c>
      <c r="B12" s="21">
        <f>(B6/2+B8/12)*B10</f>
        <v/>
      </c>
    </row>
    <row r="13">
      <c r="A13" s="14" t="inlineStr">
        <is>
          <t>ROOF AREA, BOTH SLOPES (sq ft)</t>
        </is>
      </c>
      <c r="B13" s="26">
        <f>2*B11*B12</f>
        <v/>
      </c>
    </row>
    <row r="14">
      <c r="A14" s="14" t="inlineStr">
        <is>
          <t>SQUARES (100 sq ft each)</t>
        </is>
      </c>
      <c r="B14" s="22">
        <f>B13/100</f>
        <v/>
      </c>
    </row>
    <row r="15" ht="28" customHeight="1">
      <c r="A15" s="17" t="inlineStr">
        <is>
          <t>One square is 100 square feet of roof. This figures a plain gable end to end - hips, valleys, dormers and crickets add area the footprint math cannot see; measure those slopes directly and add them in.</t>
        </is>
      </c>
    </row>
    <row r="17" ht="20" customHeight="1">
      <c r="A17" s="8" t="inlineStr">
        <is>
          <t>2 - SHINGLE BUNDLES</t>
        </is>
      </c>
    </row>
    <row r="18">
      <c r="A18" s="9" t="inlineStr">
        <is>
          <t>Squares to cover</t>
        </is>
      </c>
      <c r="B18" s="21">
        <f>B14</f>
        <v/>
      </c>
      <c r="C18" s="24" t="inlineStr">
        <is>
          <t>Carried down from the roof above - run section 1 with your own numbers if you measured the roof instead</t>
        </is>
      </c>
    </row>
    <row r="19">
      <c r="A19" s="9" t="inlineStr">
        <is>
          <t>Waste &amp; cuts</t>
        </is>
      </c>
      <c r="B19" s="12" t="n">
        <v>0.1</v>
      </c>
      <c r="C19" s="24" t="inlineStr">
        <is>
          <t>Estimate - 10% on a plain gable, 15% on a cut-up roof</t>
        </is>
      </c>
    </row>
    <row r="20">
      <c r="A20" s="9" t="inlineStr">
        <is>
          <t>Bundles per square</t>
        </is>
      </c>
      <c r="B20" s="18" t="n">
        <v>3</v>
      </c>
      <c r="C20" s="24" t="inlineStr">
        <is>
          <t>Typical for standard 3-tab and most architectural shingles - the bundle wrapper on yours is the truth</t>
        </is>
      </c>
    </row>
    <row r="21">
      <c r="A21" s="9" t="inlineStr">
        <is>
          <t>Squares with waste</t>
        </is>
      </c>
      <c r="B21" s="21">
        <f>B18*(1+B19)</f>
        <v/>
      </c>
    </row>
    <row r="22">
      <c r="A22" s="14" t="inlineStr">
        <is>
          <t>BUNDLES TO BUY</t>
        </is>
      </c>
      <c r="B22" s="26">
        <f>CEILING(B21*B20,1)</f>
        <v/>
      </c>
    </row>
    <row r="23" ht="28" customHeight="1">
      <c r="A23" s="17" t="inlineStr">
        <is>
          <t>Ridge cap, starter strip, underlayment and ice-and-water shield are separate lines on the order - this count is field shingles only.</t>
        </is>
      </c>
    </row>
    <row r="25" ht="20" customHeight="1">
      <c r="A25" s="8" t="inlineStr">
        <is>
          <t>3 - QUICK REFERENCE - PITCH MULTIPLIERS &amp; ANGLES</t>
        </is>
      </c>
    </row>
    <row r="26" ht="28" customHeight="1">
      <c r="A26" s="17" t="inlineStr">
        <is>
          <t>Multiply any horizontal run by the factor to get the slope length - rafters, roofing and gutters all run on the same table. Exact geometry: factor = SQRT(144 + rise^2) / 12.</t>
        </is>
      </c>
    </row>
    <row r="27">
      <c r="A27" s="31" t="inlineStr">
        <is>
          <t>Rise (per 12 in)</t>
        </is>
      </c>
      <c r="B27" s="31" t="inlineStr">
        <is>
          <t>Slope factor</t>
        </is>
      </c>
      <c r="C27" s="31" t="inlineStr">
        <is>
          <t>Slope angle (deg)</t>
        </is>
      </c>
      <c r="D27" s="31" t="inlineStr">
        <is>
          <t>Typical use</t>
        </is>
      </c>
    </row>
    <row r="28">
      <c r="A28" s="30" t="n">
        <v>1</v>
      </c>
      <c r="B28" s="87">
        <f>SQRT(144+A28^2)/12</f>
        <v/>
      </c>
      <c r="C28" s="88">
        <f>DEGREES(ATAN(A28/12))</f>
        <v/>
      </c>
      <c r="D28" s="30" t="inlineStr"/>
    </row>
    <row r="29">
      <c r="A29" s="30" t="n">
        <v>2</v>
      </c>
      <c r="B29" s="87">
        <f>SQRT(144+A29^2)/12</f>
        <v/>
      </c>
      <c r="C29" s="88">
        <f>DEGREES(ATAN(A29/12))</f>
        <v/>
      </c>
      <c r="D29" s="30" t="inlineStr">
        <is>
          <t>Very low slope</t>
        </is>
      </c>
    </row>
    <row r="30">
      <c r="A30" s="30" t="n">
        <v>3</v>
      </c>
      <c r="B30" s="87">
        <f>SQRT(144+A30^2)/12</f>
        <v/>
      </c>
      <c r="C30" s="88">
        <f>DEGREES(ATAN(A30/12))</f>
        <v/>
      </c>
      <c r="D30" s="30" t="inlineStr"/>
    </row>
    <row r="31">
      <c r="A31" s="30" t="n">
        <v>4</v>
      </c>
      <c r="B31" s="87">
        <f>SQRT(144+A31^2)/12</f>
        <v/>
      </c>
      <c r="C31" s="88">
        <f>DEGREES(ATAN(A31/12))</f>
        <v/>
      </c>
      <c r="D31" s="30" t="inlineStr">
        <is>
          <t>Porch / shed roof</t>
        </is>
      </c>
    </row>
    <row r="32">
      <c r="A32" s="30" t="n">
        <v>5</v>
      </c>
      <c r="B32" s="87">
        <f>SQRT(144+A32^2)/12</f>
        <v/>
      </c>
      <c r="C32" s="88">
        <f>DEGREES(ATAN(A32/12))</f>
        <v/>
      </c>
      <c r="D32" s="30" t="inlineStr"/>
    </row>
    <row r="33">
      <c r="A33" s="30" t="n">
        <v>6</v>
      </c>
      <c r="B33" s="87">
        <f>SQRT(144+A33^2)/12</f>
        <v/>
      </c>
      <c r="C33" s="88">
        <f>DEGREES(ATAN(A33/12))</f>
        <v/>
      </c>
      <c r="D33" s="30" t="inlineStr">
        <is>
          <t>Common house roof</t>
        </is>
      </c>
    </row>
    <row r="34">
      <c r="A34" s="30" t="n">
        <v>7</v>
      </c>
      <c r="B34" s="87">
        <f>SQRT(144+A34^2)/12</f>
        <v/>
      </c>
      <c r="C34" s="88">
        <f>DEGREES(ATAN(A34/12))</f>
        <v/>
      </c>
      <c r="D34" s="30" t="inlineStr"/>
    </row>
    <row r="35">
      <c r="A35" s="30" t="n">
        <v>8</v>
      </c>
      <c r="B35" s="87">
        <f>SQRT(144+A35^2)/12</f>
        <v/>
      </c>
      <c r="C35" s="88">
        <f>DEGREES(ATAN(A35/12))</f>
        <v/>
      </c>
      <c r="D35" s="30" t="inlineStr"/>
    </row>
    <row r="36">
      <c r="A36" s="30" t="n">
        <v>9</v>
      </c>
      <c r="B36" s="87">
        <f>SQRT(144+A36^2)/12</f>
        <v/>
      </c>
      <c r="C36" s="88">
        <f>DEGREES(ATAN(A36/12))</f>
        <v/>
      </c>
      <c r="D36" s="30" t="inlineStr">
        <is>
          <t>Steep roof</t>
        </is>
      </c>
    </row>
    <row r="37">
      <c r="A37" s="30" t="n">
        <v>10</v>
      </c>
      <c r="B37" s="87">
        <f>SQRT(144+A37^2)/12</f>
        <v/>
      </c>
      <c r="C37" s="88">
        <f>DEGREES(ATAN(A37/12))</f>
        <v/>
      </c>
      <c r="D37" s="30" t="inlineStr"/>
    </row>
    <row r="38">
      <c r="A38" s="30" t="n">
        <v>11</v>
      </c>
      <c r="B38" s="87">
        <f>SQRT(144+A38^2)/12</f>
        <v/>
      </c>
      <c r="C38" s="88">
        <f>DEGREES(ATAN(A38/12))</f>
        <v/>
      </c>
      <c r="D38" s="30" t="inlineStr"/>
    </row>
    <row r="39">
      <c r="A39" s="30" t="n">
        <v>12</v>
      </c>
      <c r="B39" s="87">
        <f>SQRT(144+A39^2)/12</f>
        <v/>
      </c>
      <c r="C39" s="88">
        <f>DEGREES(ATAN(A39/12))</f>
        <v/>
      </c>
      <c r="D39" s="30" t="inlineStr">
        <is>
          <t>45 degrees</t>
        </is>
      </c>
    </row>
    <row r="40" ht="28" customHeight="1">
      <c r="A40" s="17" t="inlineStr">
        <is>
          <t>Whether shingles are even allowed at a low pitch, and what underlayment they need there, comes from the shingle maker's instructions and your code - not from this sheet.</t>
        </is>
      </c>
    </row>
  </sheetData>
  <mergeCells count="9">
    <mergeCell ref="A1:C1"/>
    <mergeCell ref="A23:C23"/>
    <mergeCell ref="A17:C17"/>
    <mergeCell ref="A40:F40"/>
    <mergeCell ref="A26:F26"/>
    <mergeCell ref="A4:C4"/>
    <mergeCell ref="A2:C2"/>
    <mergeCell ref="A25:F25"/>
    <mergeCell ref="A15:C15"/>
  </mergeCells>
  <printOptions horizontalCentered="1"/>
  <pageMargins left="0.75" right="0.75" top="1" bottom="1" header="0.5" footer="0.5"/>
  <pageSetup orientation="portrait" fitToWidth="1"/>
  <drawing xmlns:r="http://schemas.openxmlformats.org/officeDocument/2006/relationships" r:id="rId1"/>
</worksheet>
</file>

<file path=xl/worksheets/sheet19.xml><?xml version="1.0" encoding="utf-8"?>
<worksheet xmlns="http://schemas.openxmlformats.org/spreadsheetml/2006/main">
  <sheetPr>
    <outlinePr summaryBelow="1" summaryRight="1"/>
    <pageSetUpPr fitToPage="1"/>
  </sheetPr>
  <dimension ref="A1:F47"/>
  <sheetViews>
    <sheetView workbookViewId="0">
      <selection activeCell="A1" sqref="A1"/>
    </sheetView>
  </sheetViews>
  <sheetFormatPr baseColWidth="8" defaultRowHeight="15"/>
  <cols>
    <col width="42" customWidth="1" min="1" max="1"/>
    <col width="18" customWidth="1" min="2" max="2"/>
    <col width="62" customWidth="1" min="3" max="3"/>
    <col width="16" customWidth="1" min="4" max="4"/>
    <col width="16" customWidth="1" min="5" max="5"/>
    <col width="16" customWidth="1" min="6" max="6"/>
  </cols>
  <sheetData>
    <row r="1" ht="24" customHeight="1">
      <c r="A1" s="6" t="inlineStr">
        <is>
          <t>DRYWALL &amp; PAINTING - Sheets on the wall, gallons for the room</t>
        </is>
      </c>
    </row>
    <row r="2">
      <c r="A2" s="7" t="inlineStr">
        <is>
          <t>Room math for the board count and the paint run - walls, ceiling, coats and coverage, all figured off the room you measured.</t>
        </is>
      </c>
    </row>
    <row r="4" ht="20" customHeight="1">
      <c r="A4" s="8" t="inlineStr">
        <is>
          <t>1 - DRYWALL SHEETS</t>
        </is>
      </c>
    </row>
    <row r="5">
      <c r="A5" s="9" t="inlineStr">
        <is>
          <t>Room length (ft)</t>
        </is>
      </c>
      <c r="B5" s="18" t="n">
        <v>16</v>
      </c>
    </row>
    <row r="6">
      <c r="A6" s="9" t="inlineStr">
        <is>
          <t>Room width (ft)</t>
        </is>
      </c>
      <c r="B6" s="18" t="n">
        <v>12</v>
      </c>
    </row>
    <row r="7">
      <c r="A7" s="9" t="inlineStr">
        <is>
          <t>Ceiling height (ft)</t>
        </is>
      </c>
      <c r="B7" s="18" t="n">
        <v>8</v>
      </c>
    </row>
    <row r="8">
      <c r="A8" s="9" t="inlineStr">
        <is>
          <t>Covering</t>
        </is>
      </c>
      <c r="B8" s="23" t="inlineStr">
        <is>
          <t>Walls + ceiling</t>
        </is>
      </c>
      <c r="C8" s="24" t="inlineStr">
        <is>
          <t>Pick from the dropdown</t>
        </is>
      </c>
    </row>
    <row r="9">
      <c r="A9" s="9" t="inlineStr">
        <is>
          <t>Sheet size (sq ft: 32 = 4x8, 48 = 4x12)</t>
        </is>
      </c>
      <c r="B9" s="10" t="n">
        <v>32</v>
      </c>
    </row>
    <row r="10">
      <c r="A10" s="9" t="inlineStr">
        <is>
          <t>Waste &amp; cuts</t>
        </is>
      </c>
      <c r="B10" s="12" t="n">
        <v>0.1</v>
      </c>
    </row>
    <row r="11">
      <c r="A11" s="9" t="inlineStr">
        <is>
          <t>Wall area (sq ft)</t>
        </is>
      </c>
      <c r="B11" s="20">
        <f>2*(B5+B6)*B7</f>
        <v/>
      </c>
    </row>
    <row r="12">
      <c r="A12" s="9" t="inlineStr">
        <is>
          <t>Ceiling area (sq ft)</t>
        </is>
      </c>
      <c r="B12" s="20">
        <f>IF(B8="Walls + ceiling",B5*B6,0)</f>
        <v/>
      </c>
    </row>
    <row r="13">
      <c r="A13" s="9" t="inlineStr">
        <is>
          <t>Total surface (sq ft)</t>
        </is>
      </c>
      <c r="B13" s="20">
        <f>B11+B12</f>
        <v/>
      </c>
    </row>
    <row r="14">
      <c r="A14" s="14" t="inlineStr">
        <is>
          <t>SHEETS TO BUY</t>
        </is>
      </c>
      <c r="B14" s="26">
        <f>IF(B9&gt;0,CEILING(B13*(1+B10)/B9,1),0)</f>
        <v/>
      </c>
    </row>
    <row r="15" ht="28" customHeight="1">
      <c r="A15" s="17" t="inlineStr">
        <is>
          <t>Doors and windows are not subtracted on purpose - the cut pieces around them are where the waste allowance goes. Long sheets (4 x 12) mean fewer butt joints to finish on long walls.</t>
        </is>
      </c>
    </row>
    <row r="17" ht="20" customHeight="1">
      <c r="A17" s="8" t="inlineStr">
        <is>
          <t>2 - PAINT GALLONS</t>
        </is>
      </c>
    </row>
    <row r="18">
      <c r="A18" s="9" t="inlineStr">
        <is>
          <t>Room length (ft)</t>
        </is>
      </c>
      <c r="B18" s="18" t="n">
        <v>16</v>
      </c>
    </row>
    <row r="19">
      <c r="A19" s="9" t="inlineStr">
        <is>
          <t>Room width (ft)</t>
        </is>
      </c>
      <c r="B19" s="18" t="n">
        <v>12</v>
      </c>
    </row>
    <row r="20">
      <c r="A20" s="9" t="inlineStr">
        <is>
          <t>Ceiling height (ft)</t>
        </is>
      </c>
      <c r="B20" s="18" t="n">
        <v>8</v>
      </c>
    </row>
    <row r="21">
      <c r="A21" s="9" t="inlineStr">
        <is>
          <t>Painting</t>
        </is>
      </c>
      <c r="B21" s="23" t="inlineStr">
        <is>
          <t>Walls only</t>
        </is>
      </c>
      <c r="C21" s="24" t="inlineStr">
        <is>
          <t>Pick from the dropdown: Walls only, or Walls + ceiling</t>
        </is>
      </c>
    </row>
    <row r="22">
      <c r="A22" s="9" t="inlineStr">
        <is>
          <t>Doors (21 sq ft each)</t>
        </is>
      </c>
      <c r="B22" s="10" t="n">
        <v>2</v>
      </c>
    </row>
    <row r="23">
      <c r="A23" s="9" t="inlineStr">
        <is>
          <t>Windows (15 sq ft each)</t>
        </is>
      </c>
      <c r="B23" s="10" t="n">
        <v>2</v>
      </c>
    </row>
    <row r="24">
      <c r="A24" s="9" t="inlineStr">
        <is>
          <t>Coats</t>
        </is>
      </c>
      <c r="B24" s="10" t="n">
        <v>2</v>
      </c>
    </row>
    <row r="25">
      <c r="A25" s="9" t="inlineStr">
        <is>
          <t>Coverage per gallon (sq ft)</t>
        </is>
      </c>
      <c r="B25" s="10" t="n">
        <v>350</v>
      </c>
      <c r="C25" s="24" t="inlineStr">
        <is>
          <t>Typical - about 350 on smooth primed walls; rough or bare surfaces run 250-300</t>
        </is>
      </c>
    </row>
    <row r="26">
      <c r="A26" s="9" t="inlineStr">
        <is>
          <t>Paintable area (sq ft)</t>
        </is>
      </c>
      <c r="B26" s="20">
        <f>MAX(0,2*(B18+B19)*B20+IF(B21="Walls + ceiling",B18*B19,0)-B22*21-B23*15)</f>
        <v/>
      </c>
    </row>
    <row r="27">
      <c r="A27" s="14" t="inlineStr">
        <is>
          <t>PAINT NEEDED (gallons)</t>
        </is>
      </c>
      <c r="B27" s="25">
        <f>IF(B25&gt;0,B26*B24/B25,0)</f>
        <v/>
      </c>
    </row>
    <row r="28">
      <c r="A28" s="9" t="inlineStr">
        <is>
          <t>Buy (whole gallons)</t>
        </is>
      </c>
      <c r="B28" s="20">
        <f>CEILING(B27,1)</f>
        <v/>
      </c>
    </row>
    <row r="29" ht="28" customHeight="1">
      <c r="A29" s="17" t="inlineStr">
        <is>
          <t>The coverage on the can is for one coat on a smooth, primed surface. Bare drywall drinks the first coat - prime it and figure the primer as its own line, or the finish coats come up short.</t>
        </is>
      </c>
    </row>
    <row r="31" ht="20" customHeight="1">
      <c r="A31" s="8" t="inlineStr">
        <is>
          <t>3 - QUICK REFERENCE - COVERAGE &amp; SHEET SIZES</t>
        </is>
      </c>
    </row>
    <row r="32">
      <c r="A32" s="14" t="inlineStr">
        <is>
          <t>Paint coverage - typical, one coat</t>
        </is>
      </c>
    </row>
    <row r="33">
      <c r="A33" s="31" t="inlineStr">
        <is>
          <t>Surface</t>
        </is>
      </c>
      <c r="B33" s="31" t="inlineStr">
        <is>
          <t>Typical coverage (sq ft / gal)</t>
        </is>
      </c>
    </row>
    <row r="34">
      <c r="A34" s="30" t="inlineStr">
        <is>
          <t>Smooth, primed drywall</t>
        </is>
      </c>
      <c r="B34" s="30" t="inlineStr">
        <is>
          <t>350-400</t>
        </is>
      </c>
    </row>
    <row r="35">
      <c r="A35" s="30" t="inlineStr">
        <is>
          <t>Previously painted walls</t>
        </is>
      </c>
      <c r="B35" s="30" t="inlineStr">
        <is>
          <t>300-350</t>
        </is>
      </c>
    </row>
    <row r="36">
      <c r="A36" s="30" t="inlineStr">
        <is>
          <t>Bare drywall (unprimed)</t>
        </is>
      </c>
      <c r="B36" s="30" t="inlineStr">
        <is>
          <t>250-300</t>
        </is>
      </c>
    </row>
    <row r="37">
      <c r="A37" s="30" t="inlineStr">
        <is>
          <t>Rough texture / masonry</t>
        </is>
      </c>
      <c r="B37" s="30" t="inlineStr">
        <is>
          <t>250-300</t>
        </is>
      </c>
    </row>
    <row r="38">
      <c r="A38" s="30" t="inlineStr">
        <is>
          <t>Doors &amp; trim enamel</t>
        </is>
      </c>
      <c r="B38" s="30" t="inlineStr">
        <is>
          <t>300-350</t>
        </is>
      </c>
    </row>
    <row r="39" ht="28" customHeight="1">
      <c r="A39" s="17" t="inlineStr">
        <is>
          <t>Ranges are the paint makers' typical published figures, labeled as estimates - the can for your paint is the authority, and a hard color change can add a coat no table predicts.</t>
        </is>
      </c>
    </row>
    <row r="40">
      <c r="A40" s="14" t="inlineStr">
        <is>
          <t>Drywall sheet sizes</t>
        </is>
      </c>
    </row>
    <row r="41">
      <c r="A41" s="31" t="inlineStr">
        <is>
          <t>Sheet size</t>
        </is>
      </c>
      <c r="B41" s="31" t="inlineStr">
        <is>
          <t>Sq ft per sheet</t>
        </is>
      </c>
    </row>
    <row r="42">
      <c r="A42" s="30" t="inlineStr">
        <is>
          <t>4 x 8</t>
        </is>
      </c>
      <c r="B42" s="30" t="n">
        <v>32</v>
      </c>
    </row>
    <row r="43">
      <c r="A43" s="30" t="inlineStr">
        <is>
          <t>4 x 9</t>
        </is>
      </c>
      <c r="B43" s="30" t="n">
        <v>36</v>
      </c>
    </row>
    <row r="44">
      <c r="A44" s="30" t="inlineStr">
        <is>
          <t>4 x 10</t>
        </is>
      </c>
      <c r="B44" s="30" t="n">
        <v>40</v>
      </c>
    </row>
    <row r="45">
      <c r="A45" s="30" t="inlineStr">
        <is>
          <t>4 x 12</t>
        </is>
      </c>
      <c r="B45" s="30" t="n">
        <v>48</v>
      </c>
    </row>
    <row r="46">
      <c r="A46" s="30" t="inlineStr">
        <is>
          <t>4 x 14</t>
        </is>
      </c>
      <c r="B46" s="30" t="n">
        <v>56</v>
      </c>
    </row>
    <row r="47" ht="28" customHeight="1">
      <c r="A47" s="17" t="inlineStr">
        <is>
          <t>Sheet areas are exact (length x width). Anything over 4 x 8 is a two-person carry - and worth it where it kills a butt joint.</t>
        </is>
      </c>
    </row>
  </sheetData>
  <mergeCells count="9">
    <mergeCell ref="A47:F47"/>
    <mergeCell ref="A1:C1"/>
    <mergeCell ref="A31:F31"/>
    <mergeCell ref="A17:C17"/>
    <mergeCell ref="A15:C15"/>
    <mergeCell ref="A4:C4"/>
    <mergeCell ref="A39:F39"/>
    <mergeCell ref="A2:C2"/>
    <mergeCell ref="A29:C29"/>
  </mergeCells>
  <dataValidations count="2">
    <dataValidation sqref="B8" showDropDown="0" showInputMessage="0" showErrorMessage="0" allowBlank="0" type="list">
      <formula1>"Walls only,Walls + ceiling"</formula1>
    </dataValidation>
    <dataValidation sqref="B21" showDropDown="0" showInputMessage="0" showErrorMessage="0" allowBlank="0" type="list">
      <formula1>"Walls only,Walls + ceiling"</formula1>
    </dataValidation>
  </dataValidations>
  <printOptions horizontalCentered="1"/>
  <pageMargins left="0.75" right="0.75" top="1" bottom="1" header="0.5" footer="0.5"/>
  <pageSetup orientation="portrait" fitToWidth="1"/>
  <drawing xmlns:r="http://schemas.openxmlformats.org/officeDocument/2006/relationships" r:id="rId1"/>
</worksheet>
</file>

<file path=xl/worksheets/sheet20.xml><?xml version="1.0" encoding="utf-8"?>
<worksheet xmlns="http://schemas.openxmlformats.org/spreadsheetml/2006/main">
  <sheetPr>
    <outlinePr summaryBelow="1" summaryRight="1"/>
    <pageSetUpPr fitToPage="1"/>
  </sheetPr>
  <dimension ref="A1:F46"/>
  <sheetViews>
    <sheetView workbookViewId="0">
      <selection activeCell="A1" sqref="A1"/>
    </sheetView>
  </sheetViews>
  <sheetFormatPr baseColWidth="8" defaultRowHeight="15"/>
  <cols>
    <col width="42" customWidth="1" min="1" max="1"/>
    <col width="18" customWidth="1" min="2" max="2"/>
    <col width="62" customWidth="1" min="3" max="3"/>
    <col width="16" customWidth="1" min="4" max="4"/>
    <col width="16" customWidth="1" min="5" max="5"/>
    <col width="16" customWidth="1" min="6" max="6"/>
  </cols>
  <sheetData>
    <row r="1" ht="24" customHeight="1">
      <c r="A1" s="6" t="inlineStr">
        <is>
          <t>FLOORING - Area, waste, boxes &amp; tile counts</t>
        </is>
      </c>
    </row>
    <row r="2">
      <c r="A2" s="7" t="inlineStr">
        <is>
          <t>The room, the waste factor and the box label - everything a flooring order runs on, whatever is going down.</t>
        </is>
      </c>
    </row>
    <row r="4" ht="20" customHeight="1">
      <c r="A4" s="8" t="inlineStr">
        <is>
          <t>1 - FLOOR AREA &amp; BOXES - PLANK, LVP, LAMINATE, CARPET TILE</t>
        </is>
      </c>
    </row>
    <row r="5">
      <c r="A5" s="9" t="inlineStr">
        <is>
          <t>Room length (ft)</t>
        </is>
      </c>
      <c r="B5" s="18" t="n">
        <v>15</v>
      </c>
    </row>
    <row r="6">
      <c r="A6" s="9" t="inlineStr">
        <is>
          <t>Room width (ft)</t>
        </is>
      </c>
      <c r="B6" s="18" t="n">
        <v>12</v>
      </c>
    </row>
    <row r="7">
      <c r="A7" s="9" t="inlineStr">
        <is>
          <t>Waste</t>
        </is>
      </c>
      <c r="B7" s="12" t="n">
        <v>0.1</v>
      </c>
      <c r="C7" s="24" t="inlineStr">
        <is>
          <t>Typical - 10% straight lay, 15% diagonal, 20% herringbone</t>
        </is>
      </c>
    </row>
    <row r="8">
      <c r="A8" s="9" t="inlineStr">
        <is>
          <t>Coverage per box (sq ft)</t>
        </is>
      </c>
      <c r="B8" s="10" t="n">
        <v>20</v>
      </c>
      <c r="C8" s="24" t="inlineStr">
        <is>
          <t>Read it off the box - it is the only number that matters here</t>
        </is>
      </c>
    </row>
    <row r="9">
      <c r="A9" s="9" t="inlineStr">
        <is>
          <t>Floor area (sq ft)</t>
        </is>
      </c>
      <c r="B9" s="20">
        <f>B5*B6</f>
        <v/>
      </c>
    </row>
    <row r="10">
      <c r="A10" s="9" t="inlineStr">
        <is>
          <t>Material to buy, with waste (sq ft)</t>
        </is>
      </c>
      <c r="B10" s="33">
        <f>B9*(1+B7)</f>
        <v/>
      </c>
    </row>
    <row r="11">
      <c r="A11" s="14" t="inlineStr">
        <is>
          <t>BOXES TO BUY</t>
        </is>
      </c>
      <c r="B11" s="26">
        <f>IF(B8&gt;0,CEILING(B10/B8,1),0)</f>
        <v/>
      </c>
    </row>
    <row r="12" ht="28" customHeight="1">
      <c r="A12" s="17" t="inlineStr">
        <is>
          <t>Buy the extra box. Dye lots change, and the box you need in three years for a repair will not match the floor if you buy it then.</t>
        </is>
      </c>
    </row>
    <row r="14" ht="20" customHeight="1">
      <c r="A14" s="8" t="inlineStr">
        <is>
          <t>2 - TILE COUNT - CERAMIC, PORCELAIN &amp; STONE</t>
        </is>
      </c>
    </row>
    <row r="15">
      <c r="A15" s="9" t="inlineStr">
        <is>
          <t>Area length (ft)</t>
        </is>
      </c>
      <c r="B15" s="18" t="n">
        <v>10</v>
      </c>
    </row>
    <row r="16">
      <c r="A16" s="9" t="inlineStr">
        <is>
          <t>Area width (ft)</t>
        </is>
      </c>
      <c r="B16" s="18" t="n">
        <v>8</v>
      </c>
    </row>
    <row r="17">
      <c r="A17" s="9" t="inlineStr">
        <is>
          <t>Tile length (in)</t>
        </is>
      </c>
      <c r="B17" s="18" t="n">
        <v>12</v>
      </c>
    </row>
    <row r="18">
      <c r="A18" s="9" t="inlineStr">
        <is>
          <t>Tile width (in)</t>
        </is>
      </c>
      <c r="B18" s="18" t="n">
        <v>24</v>
      </c>
    </row>
    <row r="19">
      <c r="A19" s="9" t="inlineStr">
        <is>
          <t>Waste &amp; cuts</t>
        </is>
      </c>
      <c r="B19" s="12" t="n">
        <v>0.1</v>
      </c>
      <c r="C19" s="24" t="inlineStr">
        <is>
          <t>Typical - 10% straight grid, 15% diagonal or offset patterns</t>
        </is>
      </c>
    </row>
    <row r="20">
      <c r="A20" s="9" t="inlineStr">
        <is>
          <t>Area to tile (sq ft)</t>
        </is>
      </c>
      <c r="B20" s="20">
        <f>B15*B16</f>
        <v/>
      </c>
    </row>
    <row r="21">
      <c r="A21" s="9" t="inlineStr">
        <is>
          <t>Tile face area (sq ft)</t>
        </is>
      </c>
      <c r="B21" s="21">
        <f>(B17*B18)/144</f>
        <v/>
      </c>
    </row>
    <row r="22">
      <c r="A22" s="9" t="inlineStr">
        <is>
          <t>Tiles before waste</t>
        </is>
      </c>
      <c r="B22" s="33">
        <f>IF(B21&gt;0,B20/B21,0)</f>
        <v/>
      </c>
    </row>
    <row r="23">
      <c r="A23" s="14" t="inlineStr">
        <is>
          <t>TILES TO BUY</t>
        </is>
      </c>
      <c r="B23" s="26">
        <f>CEILING(B22*(1+B19),1)</f>
        <v/>
      </c>
    </row>
    <row r="24" ht="28" customHeight="1">
      <c r="A24" s="17" t="inlineStr">
        <is>
          <t>The count runs off the tile's face size and ignores the grout gap - on large-format tile the gap barely moves the count; on mosaics, count the mounted sheet as the unit, not the chip.</t>
        </is>
      </c>
    </row>
    <row r="26" ht="20" customHeight="1">
      <c r="A26" s="8" t="inlineStr">
        <is>
          <t>3 - QUICK REFERENCE - TILE SIZES &amp; WASTE GUIDE</t>
        </is>
      </c>
    </row>
    <row r="27" ht="28" customHeight="1">
      <c r="A27" s="17" t="inlineStr">
        <is>
          <t>Tiles per 100 square feet is exact arithmetic from the face size, before waste. The waste guide below it is the trade's usual allowances - estimates, not promises.</t>
        </is>
      </c>
    </row>
    <row r="28">
      <c r="A28" s="31" t="inlineStr">
        <is>
          <t>Tile size (in)</t>
        </is>
      </c>
      <c r="B28" s="31" t="inlineStr">
        <is>
          <t>Sq ft per tile</t>
        </is>
      </c>
      <c r="C28" s="31" t="inlineStr">
        <is>
          <t>Tiles per 100 sq ft</t>
        </is>
      </c>
    </row>
    <row r="29">
      <c r="A29" s="30" t="inlineStr">
        <is>
          <t>3 x 6 (subway)</t>
        </is>
      </c>
      <c r="B29" s="89">
        <f>3*6/144</f>
        <v/>
      </c>
      <c r="C29" s="88">
        <f>100/B29</f>
        <v/>
      </c>
    </row>
    <row r="30">
      <c r="A30" s="30" t="inlineStr">
        <is>
          <t>4 x 4</t>
        </is>
      </c>
      <c r="B30" s="89">
        <f>4*4/144</f>
        <v/>
      </c>
      <c r="C30" s="88">
        <f>100/B30</f>
        <v/>
      </c>
    </row>
    <row r="31">
      <c r="A31" s="30" t="inlineStr">
        <is>
          <t>6 x 6</t>
        </is>
      </c>
      <c r="B31" s="89">
        <f>6*6/144</f>
        <v/>
      </c>
      <c r="C31" s="88">
        <f>100/B31</f>
        <v/>
      </c>
    </row>
    <row r="32">
      <c r="A32" s="30" t="inlineStr">
        <is>
          <t>6 x 24 (plank)</t>
        </is>
      </c>
      <c r="B32" s="89">
        <f>6*24/144</f>
        <v/>
      </c>
      <c r="C32" s="88">
        <f>100/B32</f>
        <v/>
      </c>
    </row>
    <row r="33">
      <c r="A33" s="30" t="inlineStr">
        <is>
          <t>6 x 36 (plank)</t>
        </is>
      </c>
      <c r="B33" s="89">
        <f>6*36/144</f>
        <v/>
      </c>
      <c r="C33" s="88">
        <f>100/B33</f>
        <v/>
      </c>
    </row>
    <row r="34">
      <c r="A34" s="30" t="inlineStr">
        <is>
          <t>12 x 12</t>
        </is>
      </c>
      <c r="B34" s="89">
        <f>12*12/144</f>
        <v/>
      </c>
      <c r="C34" s="88">
        <f>100/B34</f>
        <v/>
      </c>
    </row>
    <row r="35">
      <c r="A35" s="30" t="inlineStr">
        <is>
          <t>12 x 24</t>
        </is>
      </c>
      <c r="B35" s="89">
        <f>12*24/144</f>
        <v/>
      </c>
      <c r="C35" s="88">
        <f>100/B35</f>
        <v/>
      </c>
    </row>
    <row r="36">
      <c r="A36" s="30" t="inlineStr">
        <is>
          <t>18 x 18</t>
        </is>
      </c>
      <c r="B36" s="89">
        <f>18*18/144</f>
        <v/>
      </c>
      <c r="C36" s="88">
        <f>100/B36</f>
        <v/>
      </c>
    </row>
    <row r="37">
      <c r="A37" s="30" t="inlineStr">
        <is>
          <t>24 x 24</t>
        </is>
      </c>
      <c r="B37" s="89">
        <f>24*24/144</f>
        <v/>
      </c>
      <c r="C37" s="88">
        <f>100/B37</f>
        <v/>
      </c>
    </row>
    <row r="38">
      <c r="A38" s="30" t="inlineStr">
        <is>
          <t>24 x 48</t>
        </is>
      </c>
      <c r="B38" s="89">
        <f>24*48/144</f>
        <v/>
      </c>
      <c r="C38" s="88">
        <f>100/B38</f>
        <v/>
      </c>
    </row>
    <row r="39">
      <c r="A39" s="14" t="inlineStr">
        <is>
          <t>Waste guide - typical allowances</t>
        </is>
      </c>
    </row>
    <row r="40">
      <c r="A40" s="31" t="inlineStr">
        <is>
          <t>Pattern</t>
        </is>
      </c>
      <c r="B40" s="31" t="inlineStr">
        <is>
          <t>Typical waste</t>
        </is>
      </c>
    </row>
    <row r="41">
      <c r="A41" s="30" t="inlineStr">
        <is>
          <t>Straight lay / straight grid</t>
        </is>
      </c>
      <c r="B41" s="30" t="inlineStr">
        <is>
          <t>10%</t>
        </is>
      </c>
    </row>
    <row r="42">
      <c r="A42" s="30" t="inlineStr">
        <is>
          <t>Diagonal (45 degrees)</t>
        </is>
      </c>
      <c r="B42" s="30" t="inlineStr">
        <is>
          <t>15%</t>
        </is>
      </c>
    </row>
    <row r="43">
      <c r="A43" s="30" t="inlineStr">
        <is>
          <t>Offset / running bond tile</t>
        </is>
      </c>
      <c r="B43" s="30" t="inlineStr">
        <is>
          <t>10-15%</t>
        </is>
      </c>
    </row>
    <row r="44">
      <c r="A44" s="30" t="inlineStr">
        <is>
          <t>Herringbone</t>
        </is>
      </c>
      <c r="B44" s="30" t="inlineStr">
        <is>
          <t>20%</t>
        </is>
      </c>
    </row>
    <row r="45">
      <c r="A45" s="30" t="inlineStr">
        <is>
          <t>Random-length plank</t>
        </is>
      </c>
      <c r="B45" s="30" t="inlineStr">
        <is>
          <t>10-15%</t>
        </is>
      </c>
    </row>
    <row r="46" ht="28" customHeight="1">
      <c r="A46" s="17" t="inlineStr">
        <is>
          <t>Waste figures are typical estimating allowances. Broken tile, bad cuts and future repairs all come out of the same allowance - when in doubt, round the order up, not down.</t>
        </is>
      </c>
    </row>
  </sheetData>
  <mergeCells count="9">
    <mergeCell ref="A46:F46"/>
    <mergeCell ref="A1:C1"/>
    <mergeCell ref="A14:C14"/>
    <mergeCell ref="A27:F27"/>
    <mergeCell ref="A26:F26"/>
    <mergeCell ref="A12:C12"/>
    <mergeCell ref="A4:C4"/>
    <mergeCell ref="A24:C24"/>
    <mergeCell ref="A2:C2"/>
  </mergeCells>
  <printOptions horizontalCentered="1"/>
  <pageMargins left="0.75" right="0.75" top="1" bottom="1" header="0.5" footer="0.5"/>
  <pageSetup orientation="portrait" fitToWidth="1"/>
  <drawing xmlns:r="http://schemas.openxmlformats.org/officeDocument/2006/relationships" r:id="rId1"/>
</worksheet>
</file>

<file path=xl/worksheets/sheet21.xml><?xml version="1.0" encoding="utf-8"?>
<worksheet xmlns="http://schemas.openxmlformats.org/spreadsheetml/2006/main">
  <sheetPr>
    <outlinePr summaryBelow="1" summaryRight="1"/>
    <pageSetUpPr fitToPage="1"/>
  </sheetPr>
  <dimension ref="A1:E42"/>
  <sheetViews>
    <sheetView workbookViewId="0">
      <selection activeCell="A1" sqref="A1"/>
    </sheetView>
  </sheetViews>
  <sheetFormatPr baseColWidth="8" defaultRowHeight="15"/>
  <cols>
    <col width="44" customWidth="1" min="1" max="1"/>
    <col width="10" customWidth="1" min="2" max="2"/>
    <col width="13" customWidth="1" min="3" max="3"/>
    <col width="16" customWidth="1" min="4" max="4"/>
    <col width="32" customWidth="1" min="5" max="5"/>
  </cols>
  <sheetData>
    <row r="1" ht="24" customHeight="1">
      <c r="A1" s="6" t="inlineStr">
        <is>
          <t>ELECTRICAL QUOTE - Job bid worksheet</t>
        </is>
      </c>
    </row>
    <row r="2">
      <c r="A2" s="7" t="inlineStr">
        <is>
          <t>Same math as the Job Bid Pricer on the Standard sheet - labor, materials with markup, and other costs, then overhead, then profit - laid out on the lines this trade actually writes up. Example lines are prefilled; replace quantities, hours and costs with the real job.</t>
        </is>
      </c>
    </row>
    <row r="4">
      <c r="A4" s="14" t="inlineStr">
        <is>
          <t>Customer name:</t>
        </is>
      </c>
      <c r="B4" s="23" t="n"/>
      <c r="C4" s="53" t="n"/>
      <c r="D4" s="53" t="n"/>
      <c r="E4" s="54" t="n"/>
    </row>
    <row r="5">
      <c r="A5" s="14" t="inlineStr">
        <is>
          <t>Job / address:</t>
        </is>
      </c>
      <c r="B5" s="23" t="n"/>
      <c r="C5" s="53" t="n"/>
      <c r="D5" s="53" t="n"/>
      <c r="E5" s="54" t="n"/>
    </row>
    <row r="6">
      <c r="A6" s="14" t="inlineStr">
        <is>
          <t>Date:</t>
        </is>
      </c>
      <c r="B6" s="23" t="n"/>
      <c r="C6" s="53" t="n"/>
      <c r="D6" s="53" t="n"/>
      <c r="E6" s="54" t="n"/>
    </row>
    <row r="7">
      <c r="A7" s="14" t="inlineStr">
        <is>
          <t>Quote #:</t>
        </is>
      </c>
      <c r="B7" s="23" t="n"/>
      <c r="C7" s="53" t="n"/>
      <c r="D7" s="53" t="n"/>
      <c r="E7" s="54" t="n"/>
    </row>
    <row r="8">
      <c r="A8" s="14" t="inlineStr">
        <is>
          <t>Labor cost per hour ($, wage + burden)</t>
        </is>
      </c>
      <c r="B8" s="11" t="n">
        <v>65</v>
      </c>
    </row>
    <row r="10">
      <c r="A10" s="34" t="inlineStr">
        <is>
          <t>LABOR - work lines</t>
        </is>
      </c>
      <c r="B10" s="34" t="inlineStr">
        <is>
          <t>Qty</t>
        </is>
      </c>
      <c r="C10" s="34" t="inlineStr">
        <is>
          <t>Hrs each</t>
        </is>
      </c>
      <c r="D10" s="34" t="inlineStr">
        <is>
          <t>Labor ($)</t>
        </is>
      </c>
      <c r="E10" s="34" t="inlineStr">
        <is>
          <t>Notes</t>
        </is>
      </c>
    </row>
    <row r="11">
      <c r="A11" s="30" t="inlineStr">
        <is>
          <t>Outlet or switch replacement</t>
        </is>
      </c>
      <c r="B11" s="18" t="n">
        <v>2</v>
      </c>
      <c r="C11" s="27" t="n">
        <v>0.5</v>
      </c>
      <c r="D11" s="13">
        <f>B11*C11*$B$8</f>
        <v/>
      </c>
      <c r="E11" s="24" t="inlineStr"/>
    </row>
    <row r="12">
      <c r="A12" s="30" t="inlineStr">
        <is>
          <t>GFCI outlet install</t>
        </is>
      </c>
      <c r="B12" s="18" t="n">
        <v>1</v>
      </c>
      <c r="C12" s="27" t="n">
        <v>0.75</v>
      </c>
      <c r="D12" s="13">
        <f>B12*C12*$B$8</f>
        <v/>
      </c>
      <c r="E12" s="24" t="inlineStr"/>
    </row>
    <row r="13">
      <c r="A13" s="30" t="inlineStr">
        <is>
          <t>Breaker replacement</t>
        </is>
      </c>
      <c r="B13" s="18" t="n">
        <v>1</v>
      </c>
      <c r="C13" s="27" t="n">
        <v>0.5</v>
      </c>
      <c r="D13" s="13">
        <f>B13*C13*$B$8</f>
        <v/>
      </c>
      <c r="E13" s="24" t="inlineStr"/>
    </row>
    <row r="14">
      <c r="A14" s="30" t="inlineStr">
        <is>
          <t>Ceiling fan install</t>
        </is>
      </c>
      <c r="B14" s="18" t="n">
        <v>1</v>
      </c>
      <c r="C14" s="27" t="n">
        <v>1.5</v>
      </c>
      <c r="D14" s="13">
        <f>B14*C14*$B$8</f>
        <v/>
      </c>
      <c r="E14" s="24" t="inlineStr"/>
    </row>
    <row r="15">
      <c r="A15" s="30" t="inlineStr">
        <is>
          <t>Recessed light install (each)</t>
        </is>
      </c>
      <c r="B15" s="18" t="n">
        <v>4</v>
      </c>
      <c r="C15" s="27" t="n">
        <v>0.75</v>
      </c>
      <c r="D15" s="13">
        <f>B15*C15*$B$8</f>
        <v/>
      </c>
      <c r="E15" s="24" t="inlineStr"/>
    </row>
    <row r="16">
      <c r="A16" s="30" t="inlineStr">
        <is>
          <t>Panel upgrade - 200A service</t>
        </is>
      </c>
      <c r="B16" s="18" t="n">
        <v>0</v>
      </c>
      <c r="C16" s="27" t="n">
        <v>6</v>
      </c>
      <c r="D16" s="13">
        <f>B16*C16*$B$8</f>
        <v/>
      </c>
      <c r="E16" s="24" t="inlineStr">
        <is>
          <t>Qty 0 - set it when the job needs it</t>
        </is>
      </c>
    </row>
    <row r="17">
      <c r="A17" s="30" t="inlineStr">
        <is>
          <t>Troubleshooting / extra time (per hour)</t>
        </is>
      </c>
      <c r="B17" s="18" t="n">
        <v>0</v>
      </c>
      <c r="C17" s="27" t="n">
        <v>1</v>
      </c>
      <c r="D17" s="13">
        <f>B17*C17*$B$8</f>
        <v/>
      </c>
      <c r="E17" s="24" t="inlineStr"/>
    </row>
    <row r="18">
      <c r="A18" s="14" t="inlineStr">
        <is>
          <t>Labor subtotal</t>
        </is>
      </c>
      <c r="C18" s="22">
        <f>SUMPRODUCT($B$11:$B$17,$C$11:$C$17)</f>
        <v/>
      </c>
      <c r="D18" s="15">
        <f>SUM($D$11:$D$17)</f>
        <v/>
      </c>
    </row>
    <row r="20">
      <c r="A20" s="34" t="inlineStr">
        <is>
          <t>MATERIALS</t>
        </is>
      </c>
      <c r="B20" s="34" t="inlineStr">
        <is>
          <t>Qty</t>
        </is>
      </c>
      <c r="C20" s="34" t="inlineStr">
        <is>
          <t>Cost each ($)</t>
        </is>
      </c>
      <c r="D20" s="34" t="inlineStr">
        <is>
          <t>Line cost ($)</t>
        </is>
      </c>
      <c r="E20" s="34" t="inlineStr">
        <is>
          <t>Notes</t>
        </is>
      </c>
    </row>
    <row r="21">
      <c r="A21" s="30" t="inlineStr">
        <is>
          <t>Outlets / switches</t>
        </is>
      </c>
      <c r="B21" s="18" t="n">
        <v>3</v>
      </c>
      <c r="C21" s="11" t="n">
        <v>8</v>
      </c>
      <c r="D21" s="13">
        <f>B21*C21</f>
        <v/>
      </c>
      <c r="E21" s="24" t="inlineStr"/>
    </row>
    <row r="22">
      <c r="A22" s="30" t="inlineStr">
        <is>
          <t>GFCI outlet</t>
        </is>
      </c>
      <c r="B22" s="18" t="n">
        <v>1</v>
      </c>
      <c r="C22" s="11" t="n">
        <v>28</v>
      </c>
      <c r="D22" s="13">
        <f>B22*C22</f>
        <v/>
      </c>
      <c r="E22" s="24" t="inlineStr"/>
    </row>
    <row r="23">
      <c r="A23" s="30" t="inlineStr">
        <is>
          <t>Breaker</t>
        </is>
      </c>
      <c r="B23" s="18" t="n">
        <v>1</v>
      </c>
      <c r="C23" s="11" t="n">
        <v>18</v>
      </c>
      <c r="D23" s="13">
        <f>B23*C23</f>
        <v/>
      </c>
      <c r="E23" s="24" t="inlineStr"/>
    </row>
    <row r="24">
      <c r="A24" s="30" t="inlineStr">
        <is>
          <t>Fan-rated box &amp; brace</t>
        </is>
      </c>
      <c r="B24" s="18" t="n">
        <v>1</v>
      </c>
      <c r="C24" s="11" t="n">
        <v>24</v>
      </c>
      <c r="D24" s="13">
        <f>B24*C24</f>
        <v/>
      </c>
      <c r="E24" s="24" t="inlineStr"/>
    </row>
    <row r="25">
      <c r="A25" s="30" t="inlineStr">
        <is>
          <t>Wire, connectors &amp; misc</t>
        </is>
      </c>
      <c r="B25" s="18" t="n">
        <v>1</v>
      </c>
      <c r="C25" s="11" t="n">
        <v>45</v>
      </c>
      <c r="D25" s="13">
        <f>B25*C25</f>
        <v/>
      </c>
      <c r="E25" s="24" t="inlineStr"/>
    </row>
    <row r="26">
      <c r="A26" s="14" t="inlineStr">
        <is>
          <t>Materials subtotal</t>
        </is>
      </c>
      <c r="D26" s="15">
        <f>SUM($D$21:$D$25)</f>
        <v/>
      </c>
    </row>
    <row r="27">
      <c r="A27" s="9" t="inlineStr">
        <is>
          <t>Materials markup</t>
        </is>
      </c>
      <c r="B27" s="12" t="n">
        <v>0.2</v>
      </c>
    </row>
    <row r="28">
      <c r="A28" s="9" t="inlineStr">
        <is>
          <t>Materials (with markup)</t>
        </is>
      </c>
      <c r="D28" s="13">
        <f>D26*(1+B27)</f>
        <v/>
      </c>
    </row>
    <row r="30" ht="20" customHeight="1">
      <c r="A30" s="8" t="inlineStr">
        <is>
          <t>BID ROLLUP - the Job Bid Pricer math</t>
        </is>
      </c>
    </row>
    <row r="31">
      <c r="A31" s="9" t="inlineStr">
        <is>
          <t>Service call / diagnostic (flat $)</t>
        </is>
      </c>
      <c r="B31" s="11" t="n">
        <v>89</v>
      </c>
    </row>
    <row r="32">
      <c r="A32" s="9" t="inlineStr">
        <is>
          <t>Subs, rentals &amp; permits ($)</t>
        </is>
      </c>
      <c r="B32" s="11" t="n">
        <v>0</v>
      </c>
    </row>
    <row r="33">
      <c r="A33" s="9" t="inlineStr">
        <is>
          <t>Direct costs (labor + materials + service + subs)</t>
        </is>
      </c>
      <c r="B33" s="13">
        <f>D18+D28+B31+B32</f>
        <v/>
      </c>
    </row>
    <row r="34">
      <c r="A34" s="9" t="inlineStr">
        <is>
          <t>Overhead on the job</t>
        </is>
      </c>
      <c r="B34" s="12" t="n">
        <v>0.1</v>
      </c>
    </row>
    <row r="35">
      <c r="A35" s="9" t="inlineStr">
        <is>
          <t>Overhead amount</t>
        </is>
      </c>
      <c r="B35" s="13">
        <f>B33*B34</f>
        <v/>
      </c>
    </row>
    <row r="36">
      <c r="A36" s="9" t="inlineStr">
        <is>
          <t>Profit markup</t>
        </is>
      </c>
      <c r="B36" s="12" t="n">
        <v>0.15</v>
      </c>
    </row>
    <row r="37">
      <c r="A37" s="9" t="inlineStr">
        <is>
          <t>Profit amount</t>
        </is>
      </c>
      <c r="B37" s="13">
        <f>(B33+B35)*B36</f>
        <v/>
      </c>
    </row>
    <row r="38">
      <c r="A38" s="14" t="inlineStr">
        <is>
          <t>BID TOTAL</t>
        </is>
      </c>
      <c r="B38" s="15">
        <f>B33+B35+B37</f>
        <v/>
      </c>
    </row>
    <row r="39">
      <c r="A39" s="9" t="inlineStr">
        <is>
          <t>Gross margin on the bid</t>
        </is>
      </c>
      <c r="B39" s="16">
        <f>IF(B38&gt;0,B37/B38,0)</f>
        <v/>
      </c>
    </row>
    <row r="41">
      <c r="A41" s="17" t="inlineStr">
        <is>
          <t>Quote is valid for 30 days unless you write otherwise here. Lines with qty 0 are common add-ons for this trade - set the qty when the job needs them. Cross-check any quote against the Job Bid Pricer on the Standard sheet: same total hours, rate, materials and percents must give the same bid.</t>
        </is>
      </c>
    </row>
    <row r="42"/>
  </sheetData>
  <mergeCells count="8">
    <mergeCell ref="A30:E30"/>
    <mergeCell ref="B4:E4"/>
    <mergeCell ref="A2:E2"/>
    <mergeCell ref="B6:E6"/>
    <mergeCell ref="A41:E42"/>
    <mergeCell ref="B7:E7"/>
    <mergeCell ref="A1:E1"/>
    <mergeCell ref="B5:E5"/>
  </mergeCells>
  <printOptions horizontalCentered="1"/>
  <pageMargins left="0.75" right="0.75" top="1" bottom="1" header="0.5" footer="0.5"/>
  <pageSetup orientation="landscape" fitToWidth="1"/>
  <headerFooter>
    <oddHeader>&amp;C&amp;11 Highway 38 Solutions</oddHeader>
    <oddFooter/>
    <evenHeader>&amp;C&amp;11 Highway 38 Solutions</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E41"/>
  <sheetViews>
    <sheetView workbookViewId="0">
      <selection activeCell="A1" sqref="A1"/>
    </sheetView>
  </sheetViews>
  <sheetFormatPr baseColWidth="8" defaultRowHeight="15"/>
  <cols>
    <col width="44" customWidth="1" min="1" max="1"/>
    <col width="10" customWidth="1" min="2" max="2"/>
    <col width="13" customWidth="1" min="3" max="3"/>
    <col width="16" customWidth="1" min="4" max="4"/>
    <col width="32" customWidth="1" min="5" max="5"/>
  </cols>
  <sheetData>
    <row r="1" ht="24" customHeight="1">
      <c r="A1" s="6" t="inlineStr">
        <is>
          <t>PLUMBING QUOTE - Job bid worksheet</t>
        </is>
      </c>
    </row>
    <row r="2">
      <c r="A2" s="7" t="inlineStr">
        <is>
          <t>Same math as the Job Bid Pricer on the Standard sheet - labor, materials with markup, and other costs, then overhead, then profit - laid out on the lines this trade actually writes up. Example lines are prefilled; replace quantities, hours and costs with the real job.</t>
        </is>
      </c>
    </row>
    <row r="4">
      <c r="A4" s="14" t="inlineStr">
        <is>
          <t>Customer name:</t>
        </is>
      </c>
      <c r="B4" s="23" t="n"/>
      <c r="C4" s="53" t="n"/>
      <c r="D4" s="53" t="n"/>
      <c r="E4" s="54" t="n"/>
    </row>
    <row r="5">
      <c r="A5" s="14" t="inlineStr">
        <is>
          <t>Job / address:</t>
        </is>
      </c>
      <c r="B5" s="23" t="n"/>
      <c r="C5" s="53" t="n"/>
      <c r="D5" s="53" t="n"/>
      <c r="E5" s="54" t="n"/>
    </row>
    <row r="6">
      <c r="A6" s="14" t="inlineStr">
        <is>
          <t>Date:</t>
        </is>
      </c>
      <c r="B6" s="23" t="n"/>
      <c r="C6" s="53" t="n"/>
      <c r="D6" s="53" t="n"/>
      <c r="E6" s="54" t="n"/>
    </row>
    <row r="7">
      <c r="A7" s="14" t="inlineStr">
        <is>
          <t>Quote #:</t>
        </is>
      </c>
      <c r="B7" s="23" t="n"/>
      <c r="C7" s="53" t="n"/>
      <c r="D7" s="53" t="n"/>
      <c r="E7" s="54" t="n"/>
    </row>
    <row r="8">
      <c r="A8" s="14" t="inlineStr">
        <is>
          <t>Labor cost per hour ($, wage + burden)</t>
        </is>
      </c>
      <c r="B8" s="11" t="n">
        <v>60</v>
      </c>
    </row>
    <row r="10">
      <c r="A10" s="34" t="inlineStr">
        <is>
          <t>LABOR - work lines</t>
        </is>
      </c>
      <c r="B10" s="34" t="inlineStr">
        <is>
          <t>Qty</t>
        </is>
      </c>
      <c r="C10" s="34" t="inlineStr">
        <is>
          <t>Hrs each</t>
        </is>
      </c>
      <c r="D10" s="34" t="inlineStr">
        <is>
          <t>Labor ($)</t>
        </is>
      </c>
      <c r="E10" s="34" t="inlineStr">
        <is>
          <t>Notes</t>
        </is>
      </c>
    </row>
    <row r="11">
      <c r="A11" s="30" t="inlineStr">
        <is>
          <t>Drain clearing</t>
        </is>
      </c>
      <c r="B11" s="18" t="n">
        <v>1</v>
      </c>
      <c r="C11" s="27" t="n">
        <v>1</v>
      </c>
      <c r="D11" s="13">
        <f>B11*C11*$B$8</f>
        <v/>
      </c>
      <c r="E11" s="24" t="inlineStr"/>
    </row>
    <row r="12">
      <c r="A12" s="30" t="inlineStr">
        <is>
          <t>Faucet replacement</t>
        </is>
      </c>
      <c r="B12" s="18" t="n">
        <v>1</v>
      </c>
      <c r="C12" s="27" t="n">
        <v>1</v>
      </c>
      <c r="D12" s="13">
        <f>B12*C12*$B$8</f>
        <v/>
      </c>
      <c r="E12" s="24" t="inlineStr"/>
    </row>
    <row r="13">
      <c r="A13" s="30" t="inlineStr">
        <is>
          <t>Toilet replacement</t>
        </is>
      </c>
      <c r="B13" s="18" t="n">
        <v>1</v>
      </c>
      <c r="C13" s="27" t="n">
        <v>1.5</v>
      </c>
      <c r="D13" s="13">
        <f>B13*C13*$B$8</f>
        <v/>
      </c>
      <c r="E13" s="24" t="inlineStr"/>
    </row>
    <row r="14">
      <c r="A14" s="30" t="inlineStr">
        <is>
          <t>Leak repair</t>
        </is>
      </c>
      <c r="B14" s="18" t="n">
        <v>1</v>
      </c>
      <c r="C14" s="27" t="n">
        <v>1</v>
      </c>
      <c r="D14" s="13">
        <f>B14*C14*$B$8</f>
        <v/>
      </c>
      <c r="E14" s="24" t="inlineStr"/>
    </row>
    <row r="15">
      <c r="A15" s="30" t="inlineStr">
        <is>
          <t>Water heater install - 50 gal</t>
        </is>
      </c>
      <c r="B15" s="18" t="n">
        <v>0</v>
      </c>
      <c r="C15" s="27" t="n">
        <v>4</v>
      </c>
      <c r="D15" s="13">
        <f>B15*C15*$B$8</f>
        <v/>
      </c>
      <c r="E15" s="24" t="inlineStr">
        <is>
          <t>Qty 0 - set it when the job needs it</t>
        </is>
      </c>
    </row>
    <row r="16">
      <c r="A16" s="30" t="inlineStr">
        <is>
          <t>Garbage disposal install</t>
        </is>
      </c>
      <c r="B16" s="18" t="n">
        <v>0</v>
      </c>
      <c r="C16" s="27" t="n">
        <v>1</v>
      </c>
      <c r="D16" s="13">
        <f>B16*C16*$B$8</f>
        <v/>
      </c>
      <c r="E16" s="24" t="inlineStr"/>
    </row>
    <row r="17">
      <c r="A17" s="14" t="inlineStr">
        <is>
          <t>Labor subtotal</t>
        </is>
      </c>
      <c r="C17" s="22">
        <f>SUMPRODUCT($B$11:$B$16,$C$11:$C$16)</f>
        <v/>
      </c>
      <c r="D17" s="15">
        <f>SUM($D$11:$D$16)</f>
        <v/>
      </c>
    </row>
    <row r="19">
      <c r="A19" s="34" t="inlineStr">
        <is>
          <t>MATERIALS</t>
        </is>
      </c>
      <c r="B19" s="34" t="inlineStr">
        <is>
          <t>Qty</t>
        </is>
      </c>
      <c r="C19" s="34" t="inlineStr">
        <is>
          <t>Cost each ($)</t>
        </is>
      </c>
      <c r="D19" s="34" t="inlineStr">
        <is>
          <t>Line cost ($)</t>
        </is>
      </c>
      <c r="E19" s="34" t="inlineStr">
        <is>
          <t>Notes</t>
        </is>
      </c>
    </row>
    <row r="20">
      <c r="A20" s="30" t="inlineStr">
        <is>
          <t>Faucet</t>
        </is>
      </c>
      <c r="B20" s="18" t="n">
        <v>1</v>
      </c>
      <c r="C20" s="11" t="n">
        <v>120</v>
      </c>
      <c r="D20" s="13">
        <f>B20*C20</f>
        <v/>
      </c>
      <c r="E20" s="24" t="inlineStr"/>
    </row>
    <row r="21">
      <c r="A21" s="30" t="inlineStr">
        <is>
          <t>Toilet</t>
        </is>
      </c>
      <c r="B21" s="18" t="n">
        <v>1</v>
      </c>
      <c r="C21" s="11" t="n">
        <v>210</v>
      </c>
      <c r="D21" s="13">
        <f>B21*C21</f>
        <v/>
      </c>
      <c r="E21" s="24" t="inlineStr"/>
    </row>
    <row r="22">
      <c r="A22" s="30" t="inlineStr">
        <is>
          <t>Wax ring &amp; supply lines</t>
        </is>
      </c>
      <c r="B22" s="18" t="n">
        <v>1</v>
      </c>
      <c r="C22" s="11" t="n">
        <v>18</v>
      </c>
      <c r="D22" s="13">
        <f>B22*C22</f>
        <v/>
      </c>
      <c r="E22" s="24" t="inlineStr"/>
    </row>
    <row r="23">
      <c r="A23" s="30" t="inlineStr">
        <is>
          <t>Pipe, fittings &amp; sealant</t>
        </is>
      </c>
      <c r="B23" s="18" t="n">
        <v>1</v>
      </c>
      <c r="C23" s="11" t="n">
        <v>35</v>
      </c>
      <c r="D23" s="13">
        <f>B23*C23</f>
        <v/>
      </c>
      <c r="E23" s="24" t="inlineStr"/>
    </row>
    <row r="24">
      <c r="A24" s="30" t="inlineStr">
        <is>
          <t>Valves &amp; misc</t>
        </is>
      </c>
      <c r="B24" s="18" t="n">
        <v>1</v>
      </c>
      <c r="C24" s="11" t="n">
        <v>25</v>
      </c>
      <c r="D24" s="13">
        <f>B24*C24</f>
        <v/>
      </c>
      <c r="E24" s="24" t="inlineStr"/>
    </row>
    <row r="25">
      <c r="A25" s="14" t="inlineStr">
        <is>
          <t>Materials subtotal</t>
        </is>
      </c>
      <c r="D25" s="15">
        <f>SUM($D$20:$D$24)</f>
        <v/>
      </c>
    </row>
    <row r="26">
      <c r="A26" s="9" t="inlineStr">
        <is>
          <t>Materials markup</t>
        </is>
      </c>
      <c r="B26" s="12" t="n">
        <v>0.2</v>
      </c>
    </row>
    <row r="27">
      <c r="A27" s="9" t="inlineStr">
        <is>
          <t>Materials (with markup)</t>
        </is>
      </c>
      <c r="D27" s="13">
        <f>D25*(1+B26)</f>
        <v/>
      </c>
    </row>
    <row r="29" ht="20" customHeight="1">
      <c r="A29" s="8" t="inlineStr">
        <is>
          <t>BID ROLLUP - the Job Bid Pricer math</t>
        </is>
      </c>
    </row>
    <row r="30">
      <c r="A30" s="9" t="inlineStr">
        <is>
          <t>Service call / diagnostic (flat $)</t>
        </is>
      </c>
      <c r="B30" s="11" t="n">
        <v>89</v>
      </c>
    </row>
    <row r="31">
      <c r="A31" s="9" t="inlineStr">
        <is>
          <t>Subs, rentals &amp; permits ($)</t>
        </is>
      </c>
      <c r="B31" s="11" t="n">
        <v>0</v>
      </c>
    </row>
    <row r="32">
      <c r="A32" s="9" t="inlineStr">
        <is>
          <t>Direct costs (labor + materials + service + subs)</t>
        </is>
      </c>
      <c r="B32" s="13">
        <f>D17+D27+B30+B31</f>
        <v/>
      </c>
    </row>
    <row r="33">
      <c r="A33" s="9" t="inlineStr">
        <is>
          <t>Overhead on the job</t>
        </is>
      </c>
      <c r="B33" s="12" t="n">
        <v>0.1</v>
      </c>
    </row>
    <row r="34">
      <c r="A34" s="9" t="inlineStr">
        <is>
          <t>Overhead amount</t>
        </is>
      </c>
      <c r="B34" s="13">
        <f>B32*B33</f>
        <v/>
      </c>
    </row>
    <row r="35">
      <c r="A35" s="9" t="inlineStr">
        <is>
          <t>Profit markup</t>
        </is>
      </c>
      <c r="B35" s="12" t="n">
        <v>0.15</v>
      </c>
    </row>
    <row r="36">
      <c r="A36" s="9" t="inlineStr">
        <is>
          <t>Profit amount</t>
        </is>
      </c>
      <c r="B36" s="13">
        <f>(B32+B34)*B35</f>
        <v/>
      </c>
    </row>
    <row r="37">
      <c r="A37" s="14" t="inlineStr">
        <is>
          <t>BID TOTAL</t>
        </is>
      </c>
      <c r="B37" s="15">
        <f>B32+B34+B36</f>
        <v/>
      </c>
    </row>
    <row r="38">
      <c r="A38" s="9" t="inlineStr">
        <is>
          <t>Gross margin on the bid</t>
        </is>
      </c>
      <c r="B38" s="16">
        <f>IF(B37&gt;0,B36/B37,0)</f>
        <v/>
      </c>
    </row>
    <row r="40">
      <c r="A40" s="17" t="inlineStr">
        <is>
          <t>Quote is valid for 30 days unless you write otherwise here. Lines with qty 0 are common add-ons for this trade - set the qty when the job needs them. Cross-check any quote against the Job Bid Pricer on the Standard sheet: same total hours, rate, materials and percents must give the same bid.</t>
        </is>
      </c>
    </row>
    <row r="41"/>
  </sheetData>
  <mergeCells count="8">
    <mergeCell ref="A29:E29"/>
    <mergeCell ref="B4:E4"/>
    <mergeCell ref="A2:E2"/>
    <mergeCell ref="B6:E6"/>
    <mergeCell ref="A40:E41"/>
    <mergeCell ref="B7:E7"/>
    <mergeCell ref="A1:E1"/>
    <mergeCell ref="B5:E5"/>
  </mergeCells>
  <printOptions horizontalCentered="1"/>
  <pageMargins left="0.75" right="0.75" top="1" bottom="1" header="0.5" footer="0.5"/>
  <pageSetup orientation="landscape" fitToWidth="1"/>
  <headerFooter>
    <oddHeader>&amp;C&amp;11 Highway 38 Solutions</oddHeader>
    <oddFooter/>
    <evenHeader>&amp;C&amp;11 Highway 38 Solutions</evenHeader>
    <evenFooter/>
    <firstHeader/>
    <firstFooter/>
  </headerFooter>
</worksheet>
</file>

<file path=xl/worksheets/sheet23.xml><?xml version="1.0" encoding="utf-8"?>
<worksheet xmlns="http://schemas.openxmlformats.org/spreadsheetml/2006/main">
  <sheetPr>
    <outlinePr summaryBelow="1" summaryRight="1"/>
    <pageSetUpPr fitToPage="1"/>
  </sheetPr>
  <dimension ref="A1:E40"/>
  <sheetViews>
    <sheetView workbookViewId="0">
      <selection activeCell="A1" sqref="A1"/>
    </sheetView>
  </sheetViews>
  <sheetFormatPr baseColWidth="8" defaultRowHeight="15"/>
  <cols>
    <col width="44" customWidth="1" min="1" max="1"/>
    <col width="10" customWidth="1" min="2" max="2"/>
    <col width="13" customWidth="1" min="3" max="3"/>
    <col width="16" customWidth="1" min="4" max="4"/>
    <col width="32" customWidth="1" min="5" max="5"/>
  </cols>
  <sheetData>
    <row r="1" ht="24" customHeight="1">
      <c r="A1" s="6" t="inlineStr">
        <is>
          <t>HVAC QUOTE - Job bid worksheet</t>
        </is>
      </c>
    </row>
    <row r="2">
      <c r="A2" s="7" t="inlineStr">
        <is>
          <t>Same math as the Job Bid Pricer on the Standard sheet - labor, materials with markup, and other costs, then overhead, then profit - laid out on the lines this trade actually writes up. Example lines are prefilled; replace quantities, hours and costs with the real job.</t>
        </is>
      </c>
    </row>
    <row r="4">
      <c r="A4" s="14" t="inlineStr">
        <is>
          <t>Customer name:</t>
        </is>
      </c>
      <c r="B4" s="23" t="n"/>
      <c r="C4" s="53" t="n"/>
      <c r="D4" s="53" t="n"/>
      <c r="E4" s="54" t="n"/>
    </row>
    <row r="5">
      <c r="A5" s="14" t="inlineStr">
        <is>
          <t>Job / address:</t>
        </is>
      </c>
      <c r="B5" s="23" t="n"/>
      <c r="C5" s="53" t="n"/>
      <c r="D5" s="53" t="n"/>
      <c r="E5" s="54" t="n"/>
    </row>
    <row r="6">
      <c r="A6" s="14" t="inlineStr">
        <is>
          <t>Date:</t>
        </is>
      </c>
      <c r="B6" s="23" t="n"/>
      <c r="C6" s="53" t="n"/>
      <c r="D6" s="53" t="n"/>
      <c r="E6" s="54" t="n"/>
    </row>
    <row r="7">
      <c r="A7" s="14" t="inlineStr">
        <is>
          <t>Quote #:</t>
        </is>
      </c>
      <c r="B7" s="23" t="n"/>
      <c r="C7" s="53" t="n"/>
      <c r="D7" s="53" t="n"/>
      <c r="E7" s="54" t="n"/>
    </row>
    <row r="8">
      <c r="A8" s="14" t="inlineStr">
        <is>
          <t>Labor cost per hour ($, wage + burden)</t>
        </is>
      </c>
      <c r="B8" s="11" t="n">
        <v>60</v>
      </c>
    </row>
    <row r="10">
      <c r="A10" s="34" t="inlineStr">
        <is>
          <t>LABOR - work lines</t>
        </is>
      </c>
      <c r="B10" s="34" t="inlineStr">
        <is>
          <t>Qty</t>
        </is>
      </c>
      <c r="C10" s="34" t="inlineStr">
        <is>
          <t>Hrs each</t>
        </is>
      </c>
      <c r="D10" s="34" t="inlineStr">
        <is>
          <t>Labor ($)</t>
        </is>
      </c>
      <c r="E10" s="34" t="inlineStr">
        <is>
          <t>Notes</t>
        </is>
      </c>
    </row>
    <row r="11">
      <c r="A11" s="30" t="inlineStr">
        <is>
          <t>Furnace tune-up</t>
        </is>
      </c>
      <c r="B11" s="18" t="n">
        <v>1</v>
      </c>
      <c r="C11" s="27" t="n">
        <v>1</v>
      </c>
      <c r="D11" s="13">
        <f>B11*C11*$B$8</f>
        <v/>
      </c>
      <c r="E11" s="24" t="inlineStr"/>
    </row>
    <row r="12">
      <c r="A12" s="30" t="inlineStr">
        <is>
          <t>AC tune-up</t>
        </is>
      </c>
      <c r="B12" s="18" t="n">
        <v>0</v>
      </c>
      <c r="C12" s="27" t="n">
        <v>1</v>
      </c>
      <c r="D12" s="13">
        <f>B12*C12*$B$8</f>
        <v/>
      </c>
      <c r="E12" s="24" t="inlineStr"/>
    </row>
    <row r="13">
      <c r="A13" s="30" t="inlineStr">
        <is>
          <t>Smart thermostat install</t>
        </is>
      </c>
      <c r="B13" s="18" t="n">
        <v>1</v>
      </c>
      <c r="C13" s="27" t="n">
        <v>0.75</v>
      </c>
      <c r="D13" s="13">
        <f>B13*C13*$B$8</f>
        <v/>
      </c>
      <c r="E13" s="24" t="inlineStr"/>
    </row>
    <row r="14">
      <c r="A14" s="30" t="inlineStr">
        <is>
          <t>Humidifier install</t>
        </is>
      </c>
      <c r="B14" s="18" t="n">
        <v>0</v>
      </c>
      <c r="C14" s="27" t="n">
        <v>2</v>
      </c>
      <c r="D14" s="13">
        <f>B14*C14*$B$8</f>
        <v/>
      </c>
      <c r="E14" s="24" t="inlineStr">
        <is>
          <t>Qty 0 - set it when the job needs it</t>
        </is>
      </c>
    </row>
    <row r="15">
      <c r="A15" s="30" t="inlineStr">
        <is>
          <t>Furnace replacement</t>
        </is>
      </c>
      <c r="B15" s="18" t="n">
        <v>0</v>
      </c>
      <c r="C15" s="27" t="n">
        <v>8</v>
      </c>
      <c r="D15" s="13">
        <f>B15*C15*$B$8</f>
        <v/>
      </c>
      <c r="E15" s="24" t="inlineStr"/>
    </row>
    <row r="16">
      <c r="A16" s="30" t="inlineStr">
        <is>
          <t>AC condenser replacement</t>
        </is>
      </c>
      <c r="B16" s="18" t="n">
        <v>0</v>
      </c>
      <c r="C16" s="27" t="n">
        <v>6</v>
      </c>
      <c r="D16" s="13">
        <f>B16*C16*$B$8</f>
        <v/>
      </c>
      <c r="E16" s="24" t="inlineStr"/>
    </row>
    <row r="17">
      <c r="A17" s="14" t="inlineStr">
        <is>
          <t>Labor subtotal</t>
        </is>
      </c>
      <c r="C17" s="22">
        <f>SUMPRODUCT($B$11:$B$16,$C$11:$C$16)</f>
        <v/>
      </c>
      <c r="D17" s="15">
        <f>SUM($D$11:$D$16)</f>
        <v/>
      </c>
    </row>
    <row r="19">
      <c r="A19" s="34" t="inlineStr">
        <is>
          <t>MATERIALS</t>
        </is>
      </c>
      <c r="B19" s="34" t="inlineStr">
        <is>
          <t>Qty</t>
        </is>
      </c>
      <c r="C19" s="34" t="inlineStr">
        <is>
          <t>Cost each ($)</t>
        </is>
      </c>
      <c r="D19" s="34" t="inlineStr">
        <is>
          <t>Line cost ($)</t>
        </is>
      </c>
      <c r="E19" s="34" t="inlineStr">
        <is>
          <t>Notes</t>
        </is>
      </c>
    </row>
    <row r="20">
      <c r="A20" s="30" t="inlineStr">
        <is>
          <t>Filters (case)</t>
        </is>
      </c>
      <c r="B20" s="18" t="n">
        <v>1</v>
      </c>
      <c r="C20" s="11" t="n">
        <v>42</v>
      </c>
      <c r="D20" s="13">
        <f>B20*C20</f>
        <v/>
      </c>
      <c r="E20" s="24" t="inlineStr"/>
    </row>
    <row r="21">
      <c r="A21" s="30" t="inlineStr">
        <is>
          <t>Smart thermostat</t>
        </is>
      </c>
      <c r="B21" s="18" t="n">
        <v>1</v>
      </c>
      <c r="C21" s="11" t="n">
        <v>180</v>
      </c>
      <c r="D21" s="13">
        <f>B21*C21</f>
        <v/>
      </c>
      <c r="E21" s="24" t="inlineStr"/>
    </row>
    <row r="22">
      <c r="A22" s="30" t="inlineStr">
        <is>
          <t>Refrigerant &amp; supplies</t>
        </is>
      </c>
      <c r="B22" s="18" t="n">
        <v>1</v>
      </c>
      <c r="C22" s="11" t="n">
        <v>65</v>
      </c>
      <c r="D22" s="13">
        <f>B22*C22</f>
        <v/>
      </c>
      <c r="E22" s="24" t="inlineStr"/>
    </row>
    <row r="23">
      <c r="A23" s="30" t="inlineStr">
        <is>
          <t>Sheet metal &amp; fittings</t>
        </is>
      </c>
      <c r="B23" s="18" t="n">
        <v>1</v>
      </c>
      <c r="C23" s="11" t="n">
        <v>30</v>
      </c>
      <c r="D23" s="13">
        <f>B23*C23</f>
        <v/>
      </c>
      <c r="E23" s="24" t="inlineStr"/>
    </row>
    <row r="24">
      <c r="A24" s="14" t="inlineStr">
        <is>
          <t>Materials subtotal</t>
        </is>
      </c>
      <c r="D24" s="15">
        <f>SUM($D$20:$D$23)</f>
        <v/>
      </c>
    </row>
    <row r="25">
      <c r="A25" s="9" t="inlineStr">
        <is>
          <t>Materials markup</t>
        </is>
      </c>
      <c r="B25" s="12" t="n">
        <v>0.2</v>
      </c>
    </row>
    <row r="26">
      <c r="A26" s="9" t="inlineStr">
        <is>
          <t>Materials (with markup)</t>
        </is>
      </c>
      <c r="D26" s="13">
        <f>D24*(1+B25)</f>
        <v/>
      </c>
    </row>
    <row r="28" ht="20" customHeight="1">
      <c r="A28" s="8" t="inlineStr">
        <is>
          <t>BID ROLLUP - the Job Bid Pricer math</t>
        </is>
      </c>
    </row>
    <row r="29">
      <c r="A29" s="9" t="inlineStr">
        <is>
          <t>Service call / diagnostic (flat $)</t>
        </is>
      </c>
      <c r="B29" s="11" t="n">
        <v>99</v>
      </c>
    </row>
    <row r="30">
      <c r="A30" s="9" t="inlineStr">
        <is>
          <t>Subs, rentals &amp; permits ($)</t>
        </is>
      </c>
      <c r="B30" s="11" t="n">
        <v>0</v>
      </c>
    </row>
    <row r="31">
      <c r="A31" s="9" t="inlineStr">
        <is>
          <t>Direct costs (labor + materials + service + subs)</t>
        </is>
      </c>
      <c r="B31" s="13">
        <f>D17+D26+B29+B30</f>
        <v/>
      </c>
    </row>
    <row r="32">
      <c r="A32" s="9" t="inlineStr">
        <is>
          <t>Overhead on the job</t>
        </is>
      </c>
      <c r="B32" s="12" t="n">
        <v>0.1</v>
      </c>
    </row>
    <row r="33">
      <c r="A33" s="9" t="inlineStr">
        <is>
          <t>Overhead amount</t>
        </is>
      </c>
      <c r="B33" s="13">
        <f>B31*B32</f>
        <v/>
      </c>
    </row>
    <row r="34">
      <c r="A34" s="9" t="inlineStr">
        <is>
          <t>Profit markup</t>
        </is>
      </c>
      <c r="B34" s="12" t="n">
        <v>0.15</v>
      </c>
    </row>
    <row r="35">
      <c r="A35" s="9" t="inlineStr">
        <is>
          <t>Profit amount</t>
        </is>
      </c>
      <c r="B35" s="13">
        <f>(B31+B33)*B34</f>
        <v/>
      </c>
    </row>
    <row r="36">
      <c r="A36" s="14" t="inlineStr">
        <is>
          <t>BID TOTAL</t>
        </is>
      </c>
      <c r="B36" s="15">
        <f>B31+B33+B35</f>
        <v/>
      </c>
    </row>
    <row r="37">
      <c r="A37" s="9" t="inlineStr">
        <is>
          <t>Gross margin on the bid</t>
        </is>
      </c>
      <c r="B37" s="16">
        <f>IF(B36&gt;0,B35/B36,0)</f>
        <v/>
      </c>
    </row>
    <row r="39">
      <c r="A39" s="17" t="inlineStr">
        <is>
          <t>Quote is valid for 30 days unless you write otherwise here. Lines with qty 0 are common add-ons for this trade - set the qty when the job needs them. Cross-check any quote against the Job Bid Pricer on the Standard sheet: same total hours, rate, materials and percents must give the same bid.</t>
        </is>
      </c>
    </row>
    <row r="40"/>
  </sheetData>
  <mergeCells count="8">
    <mergeCell ref="A39:E40"/>
    <mergeCell ref="B4:E4"/>
    <mergeCell ref="A2:E2"/>
    <mergeCell ref="A28:E28"/>
    <mergeCell ref="B6:E6"/>
    <mergeCell ref="B7:E7"/>
    <mergeCell ref="A1:E1"/>
    <mergeCell ref="B5:E5"/>
  </mergeCells>
  <printOptions horizontalCentered="1"/>
  <pageMargins left="0.75" right="0.75" top="1" bottom="1" header="0.5" footer="0.5"/>
  <pageSetup orientation="landscape" fitToWidth="1"/>
  <headerFooter>
    <oddHeader>&amp;C&amp;11 Highway 38 Solutions</oddHeader>
    <oddFooter/>
    <evenHeader>&amp;C&amp;11 Highway 38 Solutions</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Highway 38 Solutions</dc:creator>
  <dc:title xmlns:dc="http://purl.org/dc/elements/1.1/">H38 Contractor Calc - Highway 38 Solutions</dc:title>
  <dcterms:created xmlns:dcterms="http://purl.org/dc/terms/" xmlns:xsi="http://www.w3.org/2001/XMLSchema-instance" xsi:type="dcterms:W3CDTF">2026-10-25T21:36:25Z</dcterms:created>
  <dcterms:modified xmlns:dcterms="http://purl.org/dc/terms/" xmlns:xsi="http://www.w3.org/2001/XMLSchema-instance" xsi:type="dcterms:W3CDTF">2026-10-28T02:55:30+00:00Z</dcterms:modified>
</cp:coreProperties>
</file>