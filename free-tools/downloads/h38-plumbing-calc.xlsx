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lumbing" sheetId="2" state="visible" r:id="rId2"/>
    <sheet xmlns:r="http://schemas.openxmlformats.org/officeDocument/2006/relationships" name="Plumbing Reference" sheetId="3" state="visible" r:id="rId3"/>
    <sheet xmlns:r="http://schemas.openxmlformats.org/officeDocument/2006/relationships" name="Plumbing Sizing" sheetId="4" state="visible" r:id="rId4"/>
    <sheet xmlns:r="http://schemas.openxmlformats.org/officeDocument/2006/relationships" name="Plumbing Quo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0.0%"/>
    <numFmt numFmtId="166" formatCode="#,##0.0"/>
    <numFmt numFmtId="167" formatCode="&quot;$&quot;#,##0.000"/>
    <numFmt numFmtId="168" formatCode="0.0000"/>
    <numFmt numFmtId="169" formatCode="0.000"/>
    <numFmt numFmtId="170" formatCode="0.0"/>
    <numFmt numFmtId="171" formatCode="&quot;$&quot;#,##0"/>
    <numFmt numFmtId="172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1B2A4E"/>
      <sz val="18"/>
    </font>
    <font>
      <name val="Calibri"/>
      <color rgb="00444444"/>
      <sz val="11"/>
    </font>
    <font>
      <name val="Calibri"/>
      <b val="1"/>
      <sz val="11"/>
    </font>
    <font>
      <name val="Calibri"/>
      <sz val="11"/>
    </font>
    <font>
      <name val="Calibri"/>
      <b val="1"/>
      <color rgb="001B2A4E"/>
      <sz val="11"/>
    </font>
    <font>
      <name val="Calibri"/>
      <b val="1"/>
      <color rgb="00FFFFFF"/>
      <sz val="14"/>
    </font>
    <font>
      <name val="Calibri"/>
      <b val="1"/>
      <color rgb="001B2A4E"/>
      <sz val="12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555555"/>
      <sz val="11"/>
    </font>
    <font>
      <name val="Calibri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1B2A4E"/>
      </patternFill>
    </fill>
    <fill>
      <patternFill patternType="solid">
        <fgColor rgb="00C9A86A"/>
      </patternFill>
    </fill>
    <fill>
      <patternFill patternType="solid">
        <fgColor rgb="00FFF7D6"/>
      </patternFill>
    </fill>
  </fills>
  <borders count="8">
    <border>
      <left/>
      <right/>
      <top/>
      <bottom/>
      <diagonal/>
    </border>
    <border>
      <left style="thin">
        <color rgb="00B0B8C5"/>
      </left>
      <right style="thin">
        <color rgb="00B0B8C5"/>
      </right>
      <top style="thin">
        <color rgb="00B0B8C5"/>
      </top>
      <bottom style="thin">
        <color rgb="00B0B8C5"/>
      </bottom>
    </border>
    <border>
      <left/>
      <right/>
      <top style="thin">
        <color rgb="00B0B8C5"/>
      </top>
      <bottom/>
      <diagonal/>
    </border>
    <border>
      <left/>
      <right style="thin">
        <color rgb="00B0B8C5"/>
      </right>
      <top style="thin">
        <color rgb="00B0B8C5"/>
      </top>
      <bottom/>
      <diagonal/>
    </border>
    <border>
      <left/>
      <right/>
      <top style="thin">
        <color rgb="00B0B8C5"/>
      </top>
      <bottom style="thin">
        <color rgb="00B0B8C5"/>
      </bottom>
      <diagonal/>
    </border>
    <border>
      <left/>
      <right style="thin">
        <color rgb="00B0B8C5"/>
      </right>
      <top style="thin">
        <color rgb="00B0B8C5"/>
      </top>
      <bottom style="thin">
        <color rgb="00B0B8C5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/>
    </xf>
    <xf numFmtId="0" fontId="4" fillId="0" borderId="0" pivotButton="0" quotePrefix="0" xfId="0"/>
    <xf numFmtId="3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165" fontId="0" fillId="0" borderId="1" pivotButton="0" quotePrefix="0" xfId="0"/>
    <xf numFmtId="0" fontId="8" fillId="0" borderId="0" applyAlignment="1" pivotButton="0" quotePrefix="0" xfId="0">
      <alignment vertical="top" wrapText="1"/>
    </xf>
    <xf numFmtId="166" fontId="0" fillId="4" borderId="1" pivotButton="0" quotePrefix="0" xfId="0"/>
    <xf numFmtId="167" fontId="0" fillId="4" borderId="1" pivotButton="0" quotePrefix="0" xfId="0"/>
    <xf numFmtId="3" fontId="0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0" fillId="4" borderId="1" pivotButton="0" quotePrefix="0" xfId="0"/>
    <xf numFmtId="0" fontId="8" fillId="0" borderId="0" pivotButton="0" quotePrefix="0" xfId="0"/>
    <xf numFmtId="166" fontId="3" fillId="0" borderId="1" pivotButton="0" quotePrefix="0" xfId="0"/>
    <xf numFmtId="3" fontId="3" fillId="0" borderId="1" pivotButton="0" quotePrefix="0" xfId="0"/>
    <xf numFmtId="4" fontId="0" fillId="4" borderId="1" pivotButton="0" quotePrefix="0" xfId="0"/>
    <xf numFmtId="168" fontId="0" fillId="0" borderId="1" pivotButton="0" quotePrefix="0" xfId="0"/>
    <xf numFmtId="165" fontId="3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7" fillId="3" borderId="0" pivotButton="0" quotePrefix="0" xfId="0"/>
    <xf numFmtId="3" fontId="4" fillId="4" borderId="6" pivotButton="0" quotePrefix="0" xfId="0"/>
    <xf numFmtId="0" fontId="4" fillId="4" borderId="6" pivotButton="0" quotePrefix="0" xfId="0"/>
    <xf numFmtId="4" fontId="4" fillId="0" borderId="6" pivotButton="0" quotePrefix="0" xfId="0"/>
    <xf numFmtId="3" fontId="4" fillId="0" borderId="6" pivotButton="0" quotePrefix="0" xfId="0"/>
    <xf numFmtId="4" fontId="3" fillId="0" borderId="6" pivotButton="0" quotePrefix="0" xfId="0"/>
    <xf numFmtId="165" fontId="3" fillId="0" borderId="6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4" fillId="0" borderId="6" pivotButton="0" quotePrefix="0" xfId="0"/>
    <xf numFmtId="4" fontId="4" fillId="4" borderId="6" pivotButton="0" quotePrefix="0" xfId="0"/>
    <xf numFmtId="3" fontId="3" fillId="0" borderId="6" pivotButton="0" quotePrefix="0" xfId="0"/>
    <xf numFmtId="0" fontId="3" fillId="0" borderId="6" pivotButton="0" quotePrefix="0" xfId="0"/>
    <xf numFmtId="169" fontId="4" fillId="0" borderId="6" pivotButton="0" quotePrefix="0" xfId="0"/>
    <xf numFmtId="168" fontId="4" fillId="0" borderId="6" pivotButton="0" quotePrefix="0" xfId="0"/>
    <xf numFmtId="170" fontId="3" fillId="0" borderId="6" pivotButton="0" quotePrefix="0" xfId="0"/>
    <xf numFmtId="164" fontId="4" fillId="4" borderId="6" pivotButton="0" quotePrefix="0" xfId="0"/>
    <xf numFmtId="164" fontId="3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wrapText="1"/>
    </xf>
    <xf numFmtId="0" fontId="6" fillId="2" borderId="0" pivotButton="0" quotePrefix="0" xfId="0"/>
    <xf numFmtId="0" fontId="2" fillId="0" borderId="0" applyAlignment="1" pivotButton="0" quotePrefix="0" xfId="0">
      <alignment wrapText="1"/>
    </xf>
    <xf numFmtId="9" fontId="4" fillId="0" borderId="0" pivotButton="0" quotePrefix="0" xfId="0"/>
    <xf numFmtId="171" fontId="4" fillId="0" borderId="0" pivotButton="0" quotePrefix="0" xfId="0"/>
    <xf numFmtId="165" fontId="4" fillId="0" borderId="0" pivotButton="0" quotePrefix="0" xfId="0"/>
    <xf numFmtId="0" fontId="8" fillId="0" borderId="0" applyAlignment="1" pivotButton="0" quotePrefix="0" xfId="0">
      <alignment wrapText="1"/>
    </xf>
    <xf numFmtId="170" fontId="4" fillId="0" borderId="0" pivotButton="0" quotePrefix="0" xfId="0"/>
    <xf numFmtId="3" fontId="4" fillId="0" borderId="0" pivotButton="0" quotePrefix="0" xfId="0"/>
    <xf numFmtId="2" fontId="4" fillId="0" borderId="0" pivotButton="0" quotePrefix="0" xfId="0"/>
    <xf numFmtId="168" fontId="4" fillId="0" borderId="0" pivotButton="0" quotePrefix="0" xfId="0"/>
    <xf numFmtId="1" fontId="4" fillId="0" borderId="0" pivotButton="0" quotePrefix="0" xfId="0"/>
    <xf numFmtId="169" fontId="4" fillId="0" borderId="0" pivotButton="0" quotePrefix="0" xfId="0"/>
    <xf numFmtId="10" fontId="4" fillId="4" borderId="6" pivotButton="0" quotePrefix="0" xfId="0"/>
    <xf numFmtId="0" fontId="11" fillId="0" borderId="0" pivotButton="0" quotePrefix="0" xfId="0"/>
    <xf numFmtId="165" fontId="4" fillId="4" borderId="6" pivotButton="0" quotePrefix="0" xfId="0"/>
    <xf numFmtId="164" fontId="4" fillId="0" borderId="6" pivotButton="0" quotePrefix="0" xfId="0"/>
    <xf numFmtId="165" fontId="4" fillId="0" borderId="6" pivotButton="0" quotePrefix="0" xfId="0"/>
    <xf numFmtId="166" fontId="4" fillId="4" borderId="6" pivotButton="0" quotePrefix="0" xfId="0"/>
    <xf numFmtId="10" fontId="4" fillId="0" borderId="6" pivotButton="0" quotePrefix="0" xfId="0"/>
    <xf numFmtId="166" fontId="4" fillId="0" borderId="6" pivotButton="0" quotePrefix="0" xfId="0"/>
    <xf numFmtId="166" fontId="0" fillId="0" borderId="6" pivotButton="0" quotePrefix="0" xfId="0"/>
    <xf numFmtId="165" fontId="0" fillId="0" borderId="6" pivotButton="0" quotePrefix="0" xfId="0"/>
    <xf numFmtId="166" fontId="3" fillId="0" borderId="6" pivotButton="0" quotePrefix="0" xfId="0"/>
    <xf numFmtId="3" fontId="0" fillId="0" borderId="6" pivotButton="0" quotePrefix="0" xfId="0"/>
    <xf numFmtId="168" fontId="0" fillId="0" borderId="6" pivotButton="0" quotePrefix="0" xfId="0"/>
    <xf numFmtId="4" fontId="0" fillId="0" borderId="6" pivotButton="0" quotePrefix="0" xfId="0"/>
    <xf numFmtId="0" fontId="7" fillId="3" borderId="7" pivotButton="0" quotePrefix="0" xfId="0"/>
    <xf numFmtId="0" fontId="3" fillId="0" borderId="7" pivotButton="0" quotePrefix="0" xfId="0"/>
    <xf numFmtId="0" fontId="4" fillId="0" borderId="7" pivotButton="0" quotePrefix="0" xfId="0"/>
    <xf numFmtId="0" fontId="11" fillId="0" borderId="7" applyAlignment="1" pivotButton="0" quotePrefix="0" xfId="0">
      <alignment vertical="top" wrapText="1"/>
    </xf>
    <xf numFmtId="172" fontId="0" fillId="0" borderId="1" pivotButton="0" quotePrefix="0" xfId="0"/>
    <xf numFmtId="172" fontId="4" fillId="0" borderId="1" pivotButton="0" quotePrefix="0" xfId="0"/>
    <xf numFmtId="166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80975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0</row>
      <rowOff>0</rowOff>
    </from>
    <ext cx="1371600" cy="1371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H38 PLUMBING CALC</t>
        </is>
      </c>
    </row>
    <row r="2">
      <c r="A2" s="2" t="inlineStr">
        <is>
          <t>By Highway 38 Solutions  -  The plumbing sheets from the H38 Contractor Calc, in one workbook - calculators, reference tables, sizing tools and a quoting sheet</t>
        </is>
      </c>
    </row>
    <row r="3"/>
    <row r="4" ht="42" customHeight="1">
      <c r="A4" s="3" t="inlineStr">
        <is>
          <t>What this is</t>
        </is>
      </c>
      <c r="B4" s="4" t="inlineStr">
        <is>
          <t>The plumbing calculators from the free H38 Contractor Calc web app, as a workbook you keep. The Plumbing sheet with the trade tools, its reference sheet, the water-supply, gas-line, expansion-tank and sump sizing tools, and a quoting sheet built on the same bid math as the app.</t>
        </is>
      </c>
    </row>
    <row r="5" ht="60" customHeight="1">
      <c r="A5" s="3" t="inlineStr">
        <is>
          <t>Start in this order</t>
        </is>
      </c>
      <c r="B5" s="4" t="inlineStr">
        <is>
          <t>1) Plumbing - drain slope, water-heater sizing, pipe volume &amp; flow.  2) Plumbing Reference - pipe inside diameters and flow, drain slope and fixture-unit tables.  3) Plumbing Sizing - water-supply sizing, gas line sizing, expansion-tank sizing and the sump estimator.  4) Plumbing Quote - price the whole job on lines like the ones you actually write up.</t>
        </is>
      </c>
    </row>
    <row r="6" ht="42" customHeight="1">
      <c r="A6" s="3" t="inlineStr">
        <is>
          <t>Yellow cells</t>
        </is>
      </c>
      <c r="B6" s="4" t="inlineStr">
        <is>
          <t>Yellow = you type here. White / grey cells are formulas - don't type over them, or that calculation will stop working. Percent cells: type them as percents (20%), not decimals.</t>
        </is>
      </c>
    </row>
    <row r="7" ht="42" customHeight="1">
      <c r="A7" s="3" t="inlineStr">
        <is>
          <t>Example data</t>
        </is>
      </c>
      <c r="B7" s="4" t="inlineStr">
        <is>
          <t>Every calculator opens with the same example numbers as the web app, so the two match side by side. Replace them with your shop's real numbers before quoting a customer.</t>
        </is>
      </c>
    </row>
    <row r="8" ht="42" customHeight="1">
      <c r="A8" s="3" t="inlineStr">
        <is>
          <t>Trade specials</t>
        </is>
      </c>
      <c r="B8" s="4" t="inlineStr">
        <is>
          <t>Plumbing: drain slope, water-heater sizing, pipe volume &amp; flow, and the Schedule 40 pipe chart.</t>
        </is>
      </c>
    </row>
    <row r="9" ht="42" customHeight="1">
      <c r="A9" s="3" t="inlineStr">
        <is>
          <t>Estimates only</t>
        </is>
      </c>
      <c r="B9" s="4" t="inlineStr">
        <is>
          <t>Results are estimates for planning and quoting conversations - verify load calculations, code requirements, and tax figures against the governing standard (Manual J, the NEC, IRS publications) and your own books before you build, bid, or file on them.</t>
        </is>
      </c>
    </row>
    <row r="10"/>
    <row r="11">
      <c r="A11" s="5" t="inlineStr">
        <is>
          <t>Sheets:  Plumbing  -  Plumbing Reference  -  Plumbing Sizing  -  Plumbing Quote</t>
        </is>
      </c>
    </row>
    <row r="12"/>
    <row r="13">
      <c r="A13" s="14" t="inlineStr">
        <is>
          <t>QUICK REFERENCE SHEETS</t>
        </is>
      </c>
    </row>
    <row r="14" ht="75" customHeight="1">
      <c r="A14" s="14" t="inlineStr">
        <is>
          <t>Plumbing Reference</t>
        </is>
      </c>
      <c r="B14" s="55" t="inlineStr">
        <is>
          <t>Real pipe inside diameters and flow for PVC, copper and PEX, drain slope by pipe size with the drop over a run, drainage fixture units (IPC 709.1) and building-drain capacity (IPC 710.1(1)), trap-arm lengths, and head/pressure numbers.</t>
        </is>
      </c>
    </row>
    <row r="15" ht="60" customHeight="1">
      <c r="A15" s="14" t="inlineStr">
        <is>
          <t>Reference sources</t>
        </is>
      </c>
      <c r="B15" s="55" t="inlineStr">
        <is>
          <t>Tables come from the standards the trades work to: IPC Tables 704.1, 709.1, 710.1(1) and 909.1; ASTM B88 copper dimensions. Local amendments and equipment nameplates win over any quick table.</t>
        </is>
      </c>
    </row>
    <row r="16"/>
    <row r="17">
      <c r="A17" s="14" t="inlineStr">
        <is>
          <t>MORE CALCULATORS</t>
        </is>
      </c>
    </row>
    <row r="18">
      <c r="A18" s="14" t="inlineStr">
        <is>
          <t>Plumbing Sizing</t>
        </is>
      </c>
      <c r="B18" s="9" t="inlineStr">
        <is>
          <t>Water-supply sizing by IPC Appendix E fixture units, gas line sizing by the longest-length method (IFGC table), expansion-tank sizing, and a sump-pump basin and head estimator.</t>
        </is>
      </c>
    </row>
    <row r="19">
      <c r="A19" s="14" t="inlineStr">
        <is>
          <t>New-sheet sources</t>
        </is>
      </c>
      <c r="B19" s="9" t="inlineStr">
        <is>
          <t>IFGC Table 402.4(2); IPC Appendix E Tables E103.3(2) and E103.3(3); the Hazen-Williams friction formula. Code tables transcribed from the published standards - your adopted edition and local amendments govern.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3">
    <mergeCell ref="A11:B11"/>
    <mergeCell ref="A2:B2"/>
    <mergeCell ref="A1:B1"/>
  </mergeCells>
  <printOptions horizontalCentered="1"/>
  <pageMargins left="0.75" right="0.75" top="1" bottom="1" header="0.5" footer="0.5"/>
  <pageSetup orientation="portrait" fitToHeight="1" fitToWidth="1"/>
  <headerFooter>
    <oddHeader>&amp;C&amp;11 Highway 38 Solutions</oddHeader>
    <oddFooter/>
    <evenHeader>&amp;C&amp;11 Highway 38 Solutions</evenHeader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6" t="inlineStr">
        <is>
          <t>PLUMBING - Drain slope, water-heater sizing, pipe volume &amp; flow</t>
        </is>
      </c>
    </row>
    <row r="2">
      <c r="A2" s="7" t="inlineStr">
        <is>
          <t>The trade tools: the drop a drain line needs, the water heater a household actually needs, and how much water a pipe run holds and moves. The shared business kit is on the Standard sheet, same as the app shows it on every tab.</t>
        </is>
      </c>
    </row>
    <row r="4" ht="20" customHeight="1">
      <c r="A4" s="8" t="inlineStr">
        <is>
          <t>DRAIN SLOPE - drop over a run</t>
        </is>
      </c>
    </row>
    <row r="5">
      <c r="A5" s="9" t="inlineStr">
        <is>
          <t>Pitch</t>
        </is>
      </c>
      <c r="B5" s="23" t="inlineStr">
        <is>
          <t>1/4 in per ft - standard</t>
        </is>
      </c>
      <c r="C5" s="24" t="inlineStr">
        <is>
          <t>Pick from the dropdown - values from the table below</t>
        </is>
      </c>
    </row>
    <row r="6">
      <c r="A6" s="9" t="inlineStr">
        <is>
          <t>Run length (ft)</t>
        </is>
      </c>
      <c r="B6" s="18" t="n">
        <v>40</v>
      </c>
    </row>
    <row r="7">
      <c r="A7" s="9" t="inlineStr">
        <is>
          <t>Pitch used (in per ft)</t>
        </is>
      </c>
      <c r="B7" s="21">
        <f>VLOOKUP(B5,$A$14:$B$16,2,FALSE)</f>
        <v/>
      </c>
    </row>
    <row r="8">
      <c r="A8" s="14" t="inlineStr">
        <is>
          <t>TOTAL DROP (in)</t>
        </is>
      </c>
      <c r="B8" s="25">
        <f>B7*B6</f>
        <v/>
      </c>
    </row>
    <row r="9">
      <c r="A9" s="9" t="inlineStr">
        <is>
          <t>Drop in feet</t>
        </is>
      </c>
      <c r="B9" s="21">
        <f>B8/12</f>
        <v/>
      </c>
    </row>
    <row r="10">
      <c r="A10" s="9" t="inlineStr">
        <is>
          <t>Grade</t>
        </is>
      </c>
      <c r="B10" s="16">
        <f>B7/12</f>
        <v/>
      </c>
    </row>
    <row r="12" ht="28" customHeight="1">
      <c r="A12" s="17" t="inlineStr">
        <is>
          <t>Code minimums (IPC/UPC): 1/4 in per foot for pipe 2-1/2 in and smaller, 1/8 in per foot for 3 in and up. Check the drop before you glue - a long run at minimum pitch can eat the whole ceiling bay.</t>
        </is>
      </c>
    </row>
    <row r="13">
      <c r="A13" s="14" t="inlineStr">
        <is>
          <t>Reference - pitch values (in per ft)</t>
        </is>
      </c>
    </row>
    <row r="14">
      <c r="A14" s="30" t="inlineStr">
        <is>
          <t>1/4 in per ft - standard</t>
        </is>
      </c>
      <c r="B14" s="21" t="n">
        <v>0.25</v>
      </c>
    </row>
    <row r="15">
      <c r="A15" s="30" t="inlineStr">
        <is>
          <t>1/8 in per ft - 3 in pipe &amp; larger</t>
        </is>
      </c>
      <c r="B15" s="21" t="n">
        <v>0.125</v>
      </c>
    </row>
    <row r="16">
      <c r="A16" s="30" t="inlineStr">
        <is>
          <t>1/2 in per ft - steep</t>
        </is>
      </c>
      <c r="B16" s="21" t="n">
        <v>0.5</v>
      </c>
    </row>
    <row r="18" ht="20" customHeight="1">
      <c r="A18" s="8" t="inlineStr">
        <is>
          <t>WATER-HEATER SIZING - by household and use</t>
        </is>
      </c>
    </row>
    <row r="19">
      <c r="A19" s="9" t="inlineStr">
        <is>
          <t>People in the house</t>
        </is>
      </c>
      <c r="B19" s="23" t="inlineStr">
        <is>
          <t>4</t>
        </is>
      </c>
      <c r="C19" s="24" t="inlineStr">
        <is>
          <t>Pick from the dropdown</t>
        </is>
      </c>
    </row>
    <row r="20">
      <c r="A20" s="9" t="inlineStr">
        <is>
          <t>Hot-water use</t>
        </is>
      </c>
      <c r="B20" s="23" t="inlineStr">
        <is>
          <t>Average</t>
        </is>
      </c>
      <c r="C20" s="24" t="inlineStr">
        <is>
          <t>Light - showers spread out. Heavy - teens, soaking tub, back-to-back showers</t>
        </is>
      </c>
    </row>
    <row r="21">
      <c r="A21" s="9" t="inlineStr">
        <is>
          <t>Household key (table row)</t>
        </is>
      </c>
      <c r="B21" s="20">
        <f>VLOOKUP(B19,$A$35:$B$39,2,FALSE)</f>
        <v/>
      </c>
    </row>
    <row r="22">
      <c r="A22" s="9" t="inlineStr">
        <is>
          <t>Use column (1 Light, 2 Average, 3 Heavy)</t>
        </is>
      </c>
      <c r="B22" s="20">
        <f>IF(B20="Light",1,IF(B20="Average",2,3))</f>
        <v/>
      </c>
    </row>
    <row r="23">
      <c r="A23" s="14" t="inlineStr">
        <is>
          <t>TANK SIZE (gal)</t>
        </is>
      </c>
      <c r="B23" s="26">
        <f>INDEX($B$29:$D$33,MATCH(B21,$A$29:$A$33,0),B22)</f>
        <v/>
      </c>
    </row>
    <row r="24">
      <c r="A24" s="9" t="inlineStr">
        <is>
          <t>First-hour rating to look for (gal)</t>
        </is>
      </c>
      <c r="B24" s="20">
        <f>INDEX($F$29:$H$33,MATCH(B21,$E$29:$E$33,0),B22)</f>
        <v/>
      </c>
    </row>
    <row r="25">
      <c r="A25" s="9" t="inlineStr">
        <is>
          <t>Or tankless, at a 70-degree rise</t>
        </is>
      </c>
      <c r="B25" s="31">
        <f>IF(B24&lt;=55,"5-6 GPM",IF(B24&lt;=75,"6-8 GPM",IF(B24&lt;=95,"8-10 GPM","10+ GPM, or two units")))</f>
        <v/>
      </c>
    </row>
    <row r="27" ht="28" customHeight="1">
      <c r="A27" s="17" t="inlineStr">
        <is>
          <t>Size a tank by its first-hour rating - the number on the yellow EnergyGuide label - not just the gallons on the box. Tankless ratings fall as incoming water gets colder; the 70-degree rise column is the honest one for northern groundwater.</t>
        </is>
      </c>
    </row>
    <row r="28">
      <c r="A28" s="14" t="inlineStr">
        <is>
          <t>Reference - tank size (gal), people rows x use (Light / Average / Heavy)</t>
        </is>
      </c>
      <c r="E28" s="14" t="inlineStr">
        <is>
          <t>FHR -&gt;</t>
        </is>
      </c>
    </row>
    <row r="29">
      <c r="A29" s="9" t="n">
        <v>2</v>
      </c>
      <c r="B29" s="32" t="n">
        <v>30</v>
      </c>
      <c r="C29" s="32" t="n">
        <v>40</v>
      </c>
      <c r="D29" s="32" t="n">
        <v>50</v>
      </c>
      <c r="E29" s="9" t="n">
        <v>2</v>
      </c>
      <c r="F29" s="32" t="n">
        <v>45</v>
      </c>
      <c r="G29" s="32" t="n">
        <v>55</v>
      </c>
      <c r="H29" s="32" t="n">
        <v>70</v>
      </c>
    </row>
    <row r="30">
      <c r="A30" s="9" t="n">
        <v>3</v>
      </c>
      <c r="B30" s="32" t="n">
        <v>40</v>
      </c>
      <c r="C30" s="32" t="n">
        <v>50</v>
      </c>
      <c r="D30" s="32" t="n">
        <v>65</v>
      </c>
      <c r="E30" s="9" t="n">
        <v>3</v>
      </c>
      <c r="F30" s="32" t="n">
        <v>55</v>
      </c>
      <c r="G30" s="32" t="n">
        <v>65</v>
      </c>
      <c r="H30" s="32" t="n">
        <v>80</v>
      </c>
    </row>
    <row r="31">
      <c r="A31" s="9" t="n">
        <v>4</v>
      </c>
      <c r="B31" s="32" t="n">
        <v>50</v>
      </c>
      <c r="C31" s="32" t="n">
        <v>50</v>
      </c>
      <c r="D31" s="32" t="n">
        <v>65</v>
      </c>
      <c r="E31" s="9" t="n">
        <v>4</v>
      </c>
      <c r="F31" s="32" t="n">
        <v>65</v>
      </c>
      <c r="G31" s="32" t="n">
        <v>75</v>
      </c>
      <c r="H31" s="32" t="n">
        <v>85</v>
      </c>
    </row>
    <row r="32">
      <c r="A32" s="9" t="n">
        <v>5</v>
      </c>
      <c r="B32" s="32" t="n">
        <v>50</v>
      </c>
      <c r="C32" s="32" t="n">
        <v>65</v>
      </c>
      <c r="D32" s="32" t="n">
        <v>80</v>
      </c>
      <c r="E32" s="9" t="n">
        <v>5</v>
      </c>
      <c r="F32" s="32" t="n">
        <v>75</v>
      </c>
      <c r="G32" s="32" t="n">
        <v>85</v>
      </c>
      <c r="H32" s="32" t="n">
        <v>95</v>
      </c>
    </row>
    <row r="33">
      <c r="A33" s="9" t="n">
        <v>6</v>
      </c>
      <c r="B33" s="32" t="n">
        <v>65</v>
      </c>
      <c r="C33" s="32" t="n">
        <v>80</v>
      </c>
      <c r="D33" s="32" t="n">
        <v>80</v>
      </c>
      <c r="E33" s="9" t="n">
        <v>6</v>
      </c>
      <c r="F33" s="32" t="n">
        <v>85</v>
      </c>
      <c r="G33" s="32" t="n">
        <v>95</v>
      </c>
      <c r="H33" s="32" t="n">
        <v>110</v>
      </c>
    </row>
    <row r="34">
      <c r="A34" s="14" t="inlineStr">
        <is>
          <t>People label -&gt; household key:</t>
        </is>
      </c>
    </row>
    <row r="35">
      <c r="A35" s="30" t="inlineStr">
        <is>
          <t>1-2</t>
        </is>
      </c>
      <c r="B35" s="30" t="n">
        <v>2</v>
      </c>
    </row>
    <row r="36">
      <c r="A36" s="30" t="inlineStr">
        <is>
          <t>3</t>
        </is>
      </c>
      <c r="B36" s="30" t="n">
        <v>3</v>
      </c>
    </row>
    <row r="37">
      <c r="A37" s="30" t="inlineStr">
        <is>
          <t>4</t>
        </is>
      </c>
      <c r="B37" s="30" t="n">
        <v>4</v>
      </c>
    </row>
    <row r="38">
      <c r="A38" s="30" t="inlineStr">
        <is>
          <t>5</t>
        </is>
      </c>
      <c r="B38" s="30" t="n">
        <v>5</v>
      </c>
    </row>
    <row r="39">
      <c r="A39" s="30" t="inlineStr">
        <is>
          <t>6 or more</t>
        </is>
      </c>
      <c r="B39" s="30" t="n">
        <v>6</v>
      </c>
    </row>
    <row r="42" ht="20" customHeight="1">
      <c r="A42" s="35" t="inlineStr">
        <is>
          <t>PIPE VOLUME &amp; FLOW - what’s in the line, and how fast it moves</t>
        </is>
      </c>
    </row>
    <row r="43">
      <c r="A43" s="9" t="inlineStr">
        <is>
          <t>Pipe size (Schedule 40)</t>
        </is>
      </c>
      <c r="B43" s="37" t="inlineStr">
        <is>
          <t>1 in</t>
        </is>
      </c>
      <c r="C43" s="9" t="inlineStr">
        <is>
          <t>Pick from the dropdown - dimensions from the chart below</t>
        </is>
      </c>
    </row>
    <row r="44">
      <c r="A44" s="9" t="inlineStr">
        <is>
          <t>Pipe length (ft)</t>
        </is>
      </c>
      <c r="B44" s="36" t="n">
        <v>100</v>
      </c>
    </row>
    <row r="45">
      <c r="A45" s="9" t="inlineStr">
        <is>
          <t>Flow velocity (ft/s)</t>
        </is>
      </c>
      <c r="B45" s="45" t="n">
        <v>5</v>
      </c>
      <c r="C45" s="9" t="inlineStr">
        <is>
          <t>4-8 ft/s is the usual design range for water lines</t>
        </is>
      </c>
    </row>
    <row r="46">
      <c r="A46" s="9" t="inlineStr">
        <is>
          <t>Inside diameter (in)</t>
        </is>
      </c>
      <c r="B46" s="48">
        <f>VLOOKUP(B43,$A$56:$D$65,3,FALSE)</f>
        <v/>
      </c>
    </row>
    <row r="47">
      <c r="A47" s="9" t="inlineStr">
        <is>
          <t>Inside area (sq in)</t>
        </is>
      </c>
      <c r="B47" s="38">
        <f>PI()*B46^2/4</f>
        <v/>
      </c>
    </row>
    <row r="48">
      <c r="A48" s="14" t="inlineStr">
        <is>
          <t>VOLUME IN THE PIPE (gal)</t>
        </is>
      </c>
      <c r="B48" s="40">
        <f>B47*B44*12/231</f>
        <v/>
      </c>
    </row>
    <row r="49">
      <c r="A49" s="9" t="inlineStr">
        <is>
          <t>Volume (cubic ft)</t>
        </is>
      </c>
      <c r="B49" s="38">
        <f>B48/7.48052</f>
        <v/>
      </c>
    </row>
    <row r="50">
      <c r="A50" s="14" t="inlineStr">
        <is>
          <t>FLOW AT THAT VELOCITY (GPM)</t>
        </is>
      </c>
      <c r="B50" s="46">
        <f>B47*(B45*12)*60/231</f>
        <v/>
      </c>
    </row>
    <row r="51">
      <c r="A51" s="9" t="inlineStr">
        <is>
          <t>Minutes to move that volume at that flow</t>
        </is>
      </c>
      <c r="B51" s="38">
        <f>IF(B50&gt;0,B48/B50,0)</f>
        <v/>
      </c>
    </row>
    <row r="52" ht="28" customHeight="1">
      <c r="A52" s="43" t="inlineStr">
        <is>
          <t>Volume is the water standing in the run - what drains on the floor when you cut in, and what a fill or flush has to move. Flow is velocity times inside area; above about 8 ft/s lines get noisy and water hammer gets real.</t>
        </is>
      </c>
    </row>
    <row r="54">
      <c r="A54" s="14" t="inlineStr">
        <is>
          <t>Reference - Schedule 40 pipe sizes</t>
        </is>
      </c>
    </row>
    <row r="55">
      <c r="A55" s="47" t="inlineStr">
        <is>
          <t>Nominal size</t>
        </is>
      </c>
      <c r="B55" s="47" t="inlineStr">
        <is>
          <t>Outside dia (in)</t>
        </is>
      </c>
      <c r="C55" s="47" t="inlineStr">
        <is>
          <t>Inside dia (in)</t>
        </is>
      </c>
      <c r="D55" s="47" t="inlineStr">
        <is>
          <t>Gallons per foot</t>
        </is>
      </c>
    </row>
    <row r="56">
      <c r="A56" s="44" t="inlineStr">
        <is>
          <t>1/2 in</t>
        </is>
      </c>
      <c r="B56" s="48" t="n">
        <v>0.84</v>
      </c>
      <c r="C56" s="48" t="n">
        <v>0.622</v>
      </c>
      <c r="D56" s="49">
        <f>PI()*C56^2/4*12/231</f>
        <v/>
      </c>
    </row>
    <row r="57">
      <c r="A57" s="44" t="inlineStr">
        <is>
          <t>3/4 in</t>
        </is>
      </c>
      <c r="B57" s="48" t="n">
        <v>1.05</v>
      </c>
      <c r="C57" s="48" t="n">
        <v>0.824</v>
      </c>
      <c r="D57" s="49">
        <f>PI()*C57^2/4*12/231</f>
        <v/>
      </c>
    </row>
    <row r="58">
      <c r="A58" s="44" t="inlineStr">
        <is>
          <t>1 in</t>
        </is>
      </c>
      <c r="B58" s="48" t="n">
        <v>1.315</v>
      </c>
      <c r="C58" s="48" t="n">
        <v>1.049</v>
      </c>
      <c r="D58" s="49">
        <f>PI()*C58^2/4*12/231</f>
        <v/>
      </c>
    </row>
    <row r="59">
      <c r="A59" s="44" t="inlineStr">
        <is>
          <t>1-1/4 in</t>
        </is>
      </c>
      <c r="B59" s="48" t="n">
        <v>1.66</v>
      </c>
      <c r="C59" s="48" t="n">
        <v>1.38</v>
      </c>
      <c r="D59" s="49">
        <f>PI()*C59^2/4*12/231</f>
        <v/>
      </c>
    </row>
    <row r="60">
      <c r="A60" s="44" t="inlineStr">
        <is>
          <t>1-1/2 in</t>
        </is>
      </c>
      <c r="B60" s="48" t="n">
        <v>1.9</v>
      </c>
      <c r="C60" s="48" t="n">
        <v>1.61</v>
      </c>
      <c r="D60" s="49">
        <f>PI()*C60^2/4*12/231</f>
        <v/>
      </c>
    </row>
    <row r="61">
      <c r="A61" s="44" t="inlineStr">
        <is>
          <t>2 in</t>
        </is>
      </c>
      <c r="B61" s="48" t="n">
        <v>2.375</v>
      </c>
      <c r="C61" s="48" t="n">
        <v>2.067</v>
      </c>
      <c r="D61" s="49">
        <f>PI()*C61^2/4*12/231</f>
        <v/>
      </c>
    </row>
    <row r="62">
      <c r="A62" s="44" t="inlineStr">
        <is>
          <t>2-1/2 in</t>
        </is>
      </c>
      <c r="B62" s="48" t="n">
        <v>2.875</v>
      </c>
      <c r="C62" s="48" t="n">
        <v>2.469</v>
      </c>
      <c r="D62" s="49">
        <f>PI()*C62^2/4*12/231</f>
        <v/>
      </c>
    </row>
    <row r="63">
      <c r="A63" s="44" t="inlineStr">
        <is>
          <t>3 in</t>
        </is>
      </c>
      <c r="B63" s="48" t="n">
        <v>3.5</v>
      </c>
      <c r="C63" s="48" t="n">
        <v>3.068</v>
      </c>
      <c r="D63" s="49">
        <f>PI()*C63^2/4*12/231</f>
        <v/>
      </c>
    </row>
    <row r="64">
      <c r="A64" s="44" t="inlineStr">
        <is>
          <t>4 in</t>
        </is>
      </c>
      <c r="B64" s="48" t="n">
        <v>4.5</v>
      </c>
      <c r="C64" s="48" t="n">
        <v>4.026</v>
      </c>
      <c r="D64" s="49">
        <f>PI()*C64^2/4*12/231</f>
        <v/>
      </c>
    </row>
    <row r="65">
      <c r="A65" s="44" t="inlineStr">
        <is>
          <t>6 in</t>
        </is>
      </c>
      <c r="B65" s="48" t="n">
        <v>6.625</v>
      </c>
      <c r="C65" s="48" t="n">
        <v>6.065</v>
      </c>
      <c r="D65" s="49">
        <f>PI()*C65^2/4*12/231</f>
        <v/>
      </c>
    </row>
  </sheetData>
  <mergeCells count="9">
    <mergeCell ref="A42:C42"/>
    <mergeCell ref="A1:C1"/>
    <mergeCell ref="A54:D54"/>
    <mergeCell ref="A18:C18"/>
    <mergeCell ref="A27:C27"/>
    <mergeCell ref="A12:C12"/>
    <mergeCell ref="A4:C4"/>
    <mergeCell ref="A2:C2"/>
    <mergeCell ref="A52:C52"/>
  </mergeCells>
  <dataValidations count="4">
    <dataValidation sqref="B5" showDropDown="0" showInputMessage="0" showErrorMessage="0" allowBlank="0" type="list">
      <formula1>"1/4 in per ft - standard,1/8 in per ft - 3 in pipe &amp; larger,1/2 in per ft - steep"</formula1>
    </dataValidation>
    <dataValidation sqref="B19" showDropDown="0" showInputMessage="0" showErrorMessage="0" allowBlank="0" type="list">
      <formula1>"1-2,3,4,5,6 or more"</formula1>
    </dataValidation>
    <dataValidation sqref="B20" showDropDown="0" showInputMessage="0" showErrorMessage="0" allowBlank="0" type="list">
      <formula1>"Light,Average,Heavy"</formula1>
    </dataValidation>
    <dataValidation sqref="B43" showDropDown="0" showInputMessage="0" showErrorMessage="0" allowBlank="0" error="Pick from the list" prompt="Pick from the dropdown" type="list">
      <formula1>"1/2 in,3/4 in,1 in,1-1/4 in,1-1/2 in,2 in,2-1/2 in,3 in,4 in,6 in"</formula1>
    </dataValidation>
  </dataValidations>
  <printOptions horizontalCentered="1"/>
  <pageMargins left="0.75" right="0.75" top="1" bottom="1" header="0.5" footer="0.5"/>
  <pageSetup orientation="portrait" fitToWidth="1"/>
  <headerFooter>
    <oddHeader>&amp;C&amp;11 Highway 38 Solutions</oddHeader>
    <oddFooter/>
    <evenHeader>&amp;C&amp;11 Highway 38 Solutions</evenHeader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7"/>
  <sheetViews>
    <sheetView workbookViewId="0">
      <selection activeCell="A1" sqref="A1"/>
    </sheetView>
  </sheetViews>
  <sheetFormatPr baseColWidth="8" defaultRowHeight="15"/>
  <cols>
    <col width="1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2" customWidth="1" min="8" max="8"/>
    <col width="12.5" customWidth="1" min="9" max="9"/>
    <col width="12.5" customWidth="1" min="10" max="10"/>
  </cols>
  <sheetData>
    <row r="1" ht="24" customHeight="1">
      <c r="A1" s="56" t="inlineStr">
        <is>
          <t>PLUMBING REFERENCE - Pipe sizes, drain slope &amp; fixture units</t>
        </is>
      </c>
    </row>
    <row r="2" ht="28" customHeight="1">
      <c r="A2" s="57" t="inlineStr">
        <is>
          <t>Real inside diameters and what flows through them, the slope a drain actually needs, and the fixture-unit numbers drains are sized by. The calculators are on the Plumbing sheet.</t>
        </is>
      </c>
    </row>
    <row r="4" ht="20" customHeight="1">
      <c r="A4" s="35" t="inlineStr">
        <is>
          <t>PIPE SIZES - inside diameters, and what a Schedule 40 line holds and moves</t>
        </is>
      </c>
    </row>
    <row r="5">
      <c r="A5" s="14" t="inlineStr">
        <is>
          <t>Nominal size</t>
        </is>
      </c>
      <c r="B5" s="14" t="inlineStr">
        <is>
          <t>Sch 40 OD</t>
        </is>
      </c>
      <c r="C5" s="14" t="inlineStr">
        <is>
          <t>Sch 40 ID</t>
        </is>
      </c>
      <c r="D5" s="14" t="inlineStr">
        <is>
          <t>Copper OD</t>
        </is>
      </c>
      <c r="E5" s="14" t="inlineStr">
        <is>
          <t>Cu ID - K</t>
        </is>
      </c>
      <c r="F5" s="14" t="inlineStr">
        <is>
          <t>Cu ID - L</t>
        </is>
      </c>
      <c r="G5" s="14" t="inlineStr">
        <is>
          <t>Cu ID - M</t>
        </is>
      </c>
      <c r="H5" s="14" t="inlineStr">
        <is>
          <t>PEX ID*</t>
        </is>
      </c>
      <c r="I5" s="14" t="inlineStr">
        <is>
          <t>Sch 40 gal/ft</t>
        </is>
      </c>
      <c r="J5" s="14" t="inlineStr">
        <is>
          <t>Sch 40 GPM @ 6 ft/s</t>
        </is>
      </c>
    </row>
    <row r="6">
      <c r="A6" s="9" t="inlineStr">
        <is>
          <t>3/8 in</t>
        </is>
      </c>
      <c r="B6" s="9" t="inlineStr">
        <is>
          <t>—</t>
        </is>
      </c>
      <c r="C6" s="9" t="inlineStr">
        <is>
          <t>—</t>
        </is>
      </c>
      <c r="D6" s="67" t="n">
        <v>0.5</v>
      </c>
      <c r="E6" s="67" t="n">
        <v>0.402</v>
      </c>
      <c r="F6" s="67" t="n">
        <v>0.43</v>
      </c>
      <c r="G6" s="67" t="n">
        <v>0.45</v>
      </c>
      <c r="H6" s="67" t="n">
        <v>0.35</v>
      </c>
    </row>
    <row r="7">
      <c r="A7" s="9" t="inlineStr">
        <is>
          <t>1/2 in</t>
        </is>
      </c>
      <c r="B7" s="67" t="n">
        <v>0.84</v>
      </c>
      <c r="C7" s="67" t="n">
        <v>0.622</v>
      </c>
      <c r="D7" s="67" t="n">
        <v>0.625</v>
      </c>
      <c r="E7" s="67" t="n">
        <v>0.527</v>
      </c>
      <c r="F7" s="67" t="n">
        <v>0.545</v>
      </c>
      <c r="G7" s="67" t="n">
        <v>0.569</v>
      </c>
      <c r="H7" s="67" t="n">
        <v>0.475</v>
      </c>
      <c r="I7" s="67">
        <f>PI()*C7^2/4*12/231</f>
        <v/>
      </c>
      <c r="J7" s="62">
        <f>PI()*C7^2/4*(6*12)*60/231</f>
        <v/>
      </c>
    </row>
    <row r="8">
      <c r="A8" s="9" t="inlineStr">
        <is>
          <t>3/4 in</t>
        </is>
      </c>
      <c r="B8" s="67" t="n">
        <v>1.05</v>
      </c>
      <c r="C8" s="67" t="n">
        <v>0.824</v>
      </c>
      <c r="D8" s="67" t="n">
        <v>0.875</v>
      </c>
      <c r="E8" s="67" t="n">
        <v>0.745</v>
      </c>
      <c r="F8" s="67" t="n">
        <v>0.785</v>
      </c>
      <c r="G8" s="67" t="n">
        <v>0.8110000000000001</v>
      </c>
      <c r="H8" s="67" t="n">
        <v>0.671</v>
      </c>
      <c r="I8" s="67">
        <f>PI()*C8^2/4*12/231</f>
        <v/>
      </c>
      <c r="J8" s="62">
        <f>PI()*C8^2/4*(6*12)*60/231</f>
        <v/>
      </c>
    </row>
    <row r="9">
      <c r="A9" s="9" t="inlineStr">
        <is>
          <t>1 in</t>
        </is>
      </c>
      <c r="B9" s="67" t="n">
        <v>1.315</v>
      </c>
      <c r="C9" s="67" t="n">
        <v>1.049</v>
      </c>
      <c r="D9" s="67" t="n">
        <v>1.125</v>
      </c>
      <c r="E9" s="67" t="n">
        <v>0.995</v>
      </c>
      <c r="F9" s="67" t="n">
        <v>1.025</v>
      </c>
      <c r="G9" s="67" t="n">
        <v>1.055</v>
      </c>
      <c r="H9" s="67" t="n">
        <v>0.863</v>
      </c>
      <c r="I9" s="67">
        <f>PI()*C9^2/4*12/231</f>
        <v/>
      </c>
      <c r="J9" s="62">
        <f>PI()*C9^2/4*(6*12)*60/231</f>
        <v/>
      </c>
    </row>
    <row r="10">
      <c r="A10" s="9" t="inlineStr">
        <is>
          <t>1-1/4 in</t>
        </is>
      </c>
      <c r="B10" s="67" t="n">
        <v>1.66</v>
      </c>
      <c r="C10" s="67" t="n">
        <v>1.38</v>
      </c>
      <c r="D10" s="67" t="n">
        <v>1.375</v>
      </c>
      <c r="E10" s="67" t="n">
        <v>1.245</v>
      </c>
      <c r="F10" s="67" t="n">
        <v>1.265</v>
      </c>
      <c r="G10" s="67" t="n">
        <v>1.291</v>
      </c>
      <c r="H10" s="9" t="inlineStr">
        <is>
          <t>—</t>
        </is>
      </c>
      <c r="I10" s="67">
        <f>PI()*C10^2/4*12/231</f>
        <v/>
      </c>
      <c r="J10" s="62">
        <f>PI()*C10^2/4*(6*12)*60/231</f>
        <v/>
      </c>
    </row>
    <row r="11">
      <c r="A11" s="9" t="inlineStr">
        <is>
          <t>1-1/2 in</t>
        </is>
      </c>
      <c r="B11" s="67" t="n">
        <v>1.9</v>
      </c>
      <c r="C11" s="67" t="n">
        <v>1.61</v>
      </c>
      <c r="D11" s="67" t="n">
        <v>1.625</v>
      </c>
      <c r="E11" s="67" t="n">
        <v>1.481</v>
      </c>
      <c r="F11" s="67" t="n">
        <v>1.505</v>
      </c>
      <c r="G11" s="67" t="n">
        <v>1.527</v>
      </c>
      <c r="H11" s="9" t="inlineStr">
        <is>
          <t>—</t>
        </is>
      </c>
      <c r="I11" s="67">
        <f>PI()*C11^2/4*12/231</f>
        <v/>
      </c>
      <c r="J11" s="62">
        <f>PI()*C11^2/4*(6*12)*60/231</f>
        <v/>
      </c>
    </row>
    <row r="12">
      <c r="A12" s="9" t="inlineStr">
        <is>
          <t>2 in</t>
        </is>
      </c>
      <c r="B12" s="67" t="n">
        <v>2.375</v>
      </c>
      <c r="C12" s="67" t="n">
        <v>2.067</v>
      </c>
      <c r="D12" s="67" t="n">
        <v>2.125</v>
      </c>
      <c r="E12" s="67" t="n">
        <v>1.959</v>
      </c>
      <c r="F12" s="67" t="n">
        <v>1.985</v>
      </c>
      <c r="G12" s="67" t="n">
        <v>2.009</v>
      </c>
      <c r="H12" s="9" t="inlineStr">
        <is>
          <t>—</t>
        </is>
      </c>
      <c r="I12" s="67">
        <f>PI()*C12^2/4*12/231</f>
        <v/>
      </c>
      <c r="J12" s="62">
        <f>PI()*C12^2/4*(6*12)*60/231</f>
        <v/>
      </c>
    </row>
    <row r="13">
      <c r="A13" s="9" t="inlineStr">
        <is>
          <t>2-1/2 in</t>
        </is>
      </c>
      <c r="B13" s="67" t="n">
        <v>2.875</v>
      </c>
      <c r="C13" s="67" t="n">
        <v>2.469</v>
      </c>
      <c r="D13" s="9" t="inlineStr">
        <is>
          <t>—</t>
        </is>
      </c>
      <c r="E13" s="9" t="inlineStr">
        <is>
          <t>—</t>
        </is>
      </c>
      <c r="F13" s="9" t="inlineStr">
        <is>
          <t>—</t>
        </is>
      </c>
      <c r="G13" s="9" t="inlineStr">
        <is>
          <t>—</t>
        </is>
      </c>
      <c r="H13" s="9" t="inlineStr">
        <is>
          <t>—</t>
        </is>
      </c>
      <c r="I13" s="67">
        <f>PI()*C13^2/4*12/231</f>
        <v/>
      </c>
      <c r="J13" s="62">
        <f>PI()*C13^2/4*(6*12)*60/231</f>
        <v/>
      </c>
    </row>
    <row r="14">
      <c r="A14" s="9" t="inlineStr">
        <is>
          <t>3 in</t>
        </is>
      </c>
      <c r="B14" s="67" t="n">
        <v>3.5</v>
      </c>
      <c r="C14" s="67" t="n">
        <v>3.068</v>
      </c>
      <c r="D14" s="9" t="inlineStr">
        <is>
          <t>—</t>
        </is>
      </c>
      <c r="E14" s="9" t="inlineStr">
        <is>
          <t>—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—</t>
        </is>
      </c>
      <c r="I14" s="67">
        <f>PI()*C14^2/4*12/231</f>
        <v/>
      </c>
      <c r="J14" s="62">
        <f>PI()*C14^2/4*(6*12)*60/231</f>
        <v/>
      </c>
    </row>
    <row r="15">
      <c r="A15" s="9" t="inlineStr">
        <is>
          <t>4 in</t>
        </is>
      </c>
      <c r="B15" s="67" t="n">
        <v>4.5</v>
      </c>
      <c r="C15" s="67" t="n">
        <v>4.026</v>
      </c>
      <c r="D15" s="9" t="inlineStr">
        <is>
          <t>—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—</t>
        </is>
      </c>
      <c r="I15" s="67">
        <f>PI()*C15^2/4*12/231</f>
        <v/>
      </c>
      <c r="J15" s="62">
        <f>PI()*C15^2/4*(6*12)*60/231</f>
        <v/>
      </c>
    </row>
    <row r="16">
      <c r="A16" s="9" t="inlineStr">
        <is>
          <t>6 in</t>
        </is>
      </c>
      <c r="B16" s="67" t="n">
        <v>6.625</v>
      </c>
      <c r="C16" s="67" t="n">
        <v>6.065</v>
      </c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  <c r="I16" s="67">
        <f>PI()*C16^2/4*12/231</f>
        <v/>
      </c>
      <c r="J16" s="62">
        <f>PI()*C16^2/4*(6*12)*60/231</f>
        <v/>
      </c>
    </row>
    <row r="17" ht="56" customHeight="1">
      <c r="A17" s="61" t="inlineStr">
        <is>
          <t>Nominal size is a name, not a measurement. Copper and PEX are CTS: the outside always measures 1/8 in over the name (1/2 in tube is 5/8 in OD). PEX walls run thicker than copper, so the same name size flows less - a 3/4 in PEX line carries about what a 5/8 in copper line would. *PEX inside diameters are the usual published SDR-9 figures and run approximate. Flow at 6 ft/s sits mid-range of the 4-8 ft/s design band; keep distribution quiet and erosion-safe under about 8 ft/s.</t>
        </is>
      </c>
    </row>
    <row r="19" ht="20" customHeight="1">
      <c r="A19" s="35" t="inlineStr">
        <is>
          <t>DRAIN SLOPE BY PIPE SIZE - minimum pitch, and the drop it eats over a run</t>
        </is>
      </c>
    </row>
    <row r="20">
      <c r="A20" s="14" t="inlineStr">
        <is>
          <t>Pipe size</t>
        </is>
      </c>
      <c r="B20" s="14" t="inlineStr">
        <is>
          <t>Min pitch (in/ft)</t>
        </is>
      </c>
      <c r="C20" s="14" t="inlineStr">
        <is>
          <t>Grade</t>
        </is>
      </c>
      <c r="D20" s="14" t="inlineStr">
        <is>
          <t>Drop over 10 ft (in)</t>
        </is>
      </c>
      <c r="E20" s="14" t="inlineStr">
        <is>
          <t>Drop over 20 ft (in)</t>
        </is>
      </c>
      <c r="F20" s="14" t="inlineStr">
        <is>
          <t>Drop over 40 ft (in)</t>
        </is>
      </c>
    </row>
    <row r="21">
      <c r="A21" s="9" t="inlineStr">
        <is>
          <t>1-1/4 in</t>
        </is>
      </c>
      <c r="B21" s="67" t="n">
        <v>0.25</v>
      </c>
      <c r="C21" s="9" t="inlineStr">
        <is>
          <t>≈ 2%</t>
        </is>
      </c>
      <c r="D21" s="62">
        <f>B21*10</f>
        <v/>
      </c>
      <c r="E21" s="62">
        <f>B21*20</f>
        <v/>
      </c>
      <c r="F21" s="62">
        <f>B21*40</f>
        <v/>
      </c>
    </row>
    <row r="22">
      <c r="A22" s="9" t="inlineStr">
        <is>
          <t>1-1/2 in</t>
        </is>
      </c>
      <c r="B22" s="67" t="n">
        <v>0.25</v>
      </c>
      <c r="C22" s="9" t="inlineStr">
        <is>
          <t>≈ 2%</t>
        </is>
      </c>
      <c r="D22" s="62">
        <f>B22*10</f>
        <v/>
      </c>
      <c r="E22" s="62">
        <f>B22*20</f>
        <v/>
      </c>
      <c r="F22" s="62">
        <f>B22*40</f>
        <v/>
      </c>
    </row>
    <row r="23">
      <c r="A23" s="9" t="inlineStr">
        <is>
          <t>2 in</t>
        </is>
      </c>
      <c r="B23" s="67" t="n">
        <v>0.25</v>
      </c>
      <c r="C23" s="9" t="inlineStr">
        <is>
          <t>≈ 2%</t>
        </is>
      </c>
      <c r="D23" s="62">
        <f>B23*10</f>
        <v/>
      </c>
      <c r="E23" s="62">
        <f>B23*20</f>
        <v/>
      </c>
      <c r="F23" s="62">
        <f>B23*40</f>
        <v/>
      </c>
    </row>
    <row r="24">
      <c r="A24" s="9" t="inlineStr">
        <is>
          <t>2-1/2 in</t>
        </is>
      </c>
      <c r="B24" s="67" t="n">
        <v>0.25</v>
      </c>
      <c r="C24" s="9" t="inlineStr">
        <is>
          <t>≈ 2%</t>
        </is>
      </c>
      <c r="D24" s="62">
        <f>B24*10</f>
        <v/>
      </c>
      <c r="E24" s="62">
        <f>B24*20</f>
        <v/>
      </c>
      <c r="F24" s="62">
        <f>B24*40</f>
        <v/>
      </c>
    </row>
    <row r="25">
      <c r="A25" s="9" t="inlineStr">
        <is>
          <t>3 in</t>
        </is>
      </c>
      <c r="B25" s="67" t="n">
        <v>0.125</v>
      </c>
      <c r="C25" s="9" t="inlineStr">
        <is>
          <t>≈ 1%</t>
        </is>
      </c>
      <c r="D25" s="62">
        <f>B25*10</f>
        <v/>
      </c>
      <c r="E25" s="62">
        <f>B25*20</f>
        <v/>
      </c>
      <c r="F25" s="62">
        <f>B25*40</f>
        <v/>
      </c>
    </row>
    <row r="26">
      <c r="A26" s="9" t="inlineStr">
        <is>
          <t>4 in</t>
        </is>
      </c>
      <c r="B26" s="67" t="n">
        <v>0.125</v>
      </c>
      <c r="C26" s="9" t="inlineStr">
        <is>
          <t>≈ 1%</t>
        </is>
      </c>
      <c r="D26" s="62">
        <f>B26*10</f>
        <v/>
      </c>
      <c r="E26" s="62">
        <f>B26*20</f>
        <v/>
      </c>
      <c r="F26" s="62">
        <f>B26*40</f>
        <v/>
      </c>
    </row>
    <row r="27">
      <c r="A27" s="9" t="inlineStr">
        <is>
          <t>6 in</t>
        </is>
      </c>
      <c r="B27" s="67" t="n">
        <v>0.125</v>
      </c>
      <c r="C27" s="9" t="inlineStr">
        <is>
          <t>≈ 1%</t>
        </is>
      </c>
      <c r="D27" s="62">
        <f>B27*10</f>
        <v/>
      </c>
      <c r="E27" s="62">
        <f>B27*20</f>
        <v/>
      </c>
      <c r="F27" s="62">
        <f>B27*40</f>
        <v/>
      </c>
    </row>
    <row r="28" ht="42" customHeight="1">
      <c r="A28" s="61" t="inlineStr">
        <is>
          <t>Minimums per IPC Table 704.1 (the Plumbing sheet's Drain Slope calculator works any run). Check the drop before you glue - 40 ft of 2 in drain at minimum pitch eats 10 in of ceiling bay. Some UPC jurisdictions still want 1/4 in per foot on 3 in pipe; check the local code before counting on 1/8.</t>
        </is>
      </c>
    </row>
    <row r="30" ht="20" customHeight="1">
      <c r="A30" s="35" t="inlineStr">
        <is>
          <t>DRAINAGE FIXTURE UNITS - what each fixture loads the drain with (IPC Table 709.1)</t>
        </is>
      </c>
    </row>
    <row r="31">
      <c r="A31" s="14" t="inlineStr">
        <is>
          <t>Fixture</t>
        </is>
      </c>
      <c r="B31" s="14" t="inlineStr">
        <is>
          <t>DFU</t>
        </is>
      </c>
      <c r="C31" s="14" t="inlineStr">
        <is>
          <t>Min trap (in)</t>
        </is>
      </c>
    </row>
    <row r="32">
      <c r="A32" s="9" t="inlineStr">
        <is>
          <t>Water closet, private, 1.6 gpf or less</t>
        </is>
      </c>
      <c r="B32" s="66" t="n">
        <v>3</v>
      </c>
      <c r="C32" s="9" t="inlineStr">
        <is>
          <t>—</t>
        </is>
      </c>
    </row>
    <row r="33">
      <c r="A33" s="9" t="inlineStr">
        <is>
          <t>Water closet, private, over 1.6 gpf</t>
        </is>
      </c>
      <c r="B33" s="66" t="n">
        <v>4</v>
      </c>
      <c r="C33" s="9" t="inlineStr">
        <is>
          <t>—</t>
        </is>
      </c>
    </row>
    <row r="34">
      <c r="A34" s="9" t="inlineStr">
        <is>
          <t>Water closet, public, 1.6 gpf or less</t>
        </is>
      </c>
      <c r="B34" s="66" t="n">
        <v>4</v>
      </c>
      <c r="C34" s="9" t="inlineStr">
        <is>
          <t>—</t>
        </is>
      </c>
    </row>
    <row r="35">
      <c r="A35" s="9" t="inlineStr">
        <is>
          <t>Water closet, public, over 1.6 gpf</t>
        </is>
      </c>
      <c r="B35" s="66" t="n">
        <v>6</v>
      </c>
      <c r="C35" s="9" t="inlineStr">
        <is>
          <t>—</t>
        </is>
      </c>
    </row>
    <row r="36">
      <c r="A36" s="9" t="inlineStr">
        <is>
          <t>Water closet, flushometer tank</t>
        </is>
      </c>
      <c r="B36" s="66" t="n">
        <v>4</v>
      </c>
      <c r="C36" s="9" t="inlineStr">
        <is>
          <t>—</t>
        </is>
      </c>
    </row>
    <row r="37">
      <c r="A37" s="9" t="inlineStr">
        <is>
          <t>Bathroom group, private (1.6 gpf closet)</t>
        </is>
      </c>
      <c r="B37" s="66" t="n">
        <v>5</v>
      </c>
      <c r="C37" s="9" t="inlineStr">
        <is>
          <t>—</t>
        </is>
      </c>
    </row>
    <row r="38">
      <c r="A38" s="9" t="inlineStr">
        <is>
          <t>Bathroom group, private (over 1.6 gpf)</t>
        </is>
      </c>
      <c r="B38" s="66" t="n">
        <v>6</v>
      </c>
      <c r="C38" s="9" t="inlineStr">
        <is>
          <t>—</t>
        </is>
      </c>
    </row>
    <row r="39">
      <c r="A39" s="9" t="inlineStr">
        <is>
          <t>Lavatory (bathroom sink)</t>
        </is>
      </c>
      <c r="B39" s="66" t="n">
        <v>1</v>
      </c>
      <c r="C39" s="9" t="inlineStr">
        <is>
          <t>1-1/4</t>
        </is>
      </c>
    </row>
    <row r="40">
      <c r="A40" s="9" t="inlineStr">
        <is>
          <t>Bidet</t>
        </is>
      </c>
      <c r="B40" s="66" t="n">
        <v>1</v>
      </c>
      <c r="C40" s="9" t="inlineStr">
        <is>
          <t>1-1/4</t>
        </is>
      </c>
    </row>
    <row r="41">
      <c r="A41" s="9" t="inlineStr">
        <is>
          <t>Bathtub, with or without shower</t>
        </is>
      </c>
      <c r="B41" s="66" t="n">
        <v>2</v>
      </c>
      <c r="C41" s="9" t="inlineStr">
        <is>
          <t>1-1/2</t>
        </is>
      </c>
    </row>
    <row r="42">
      <c r="A42" s="9" t="inlineStr">
        <is>
          <t>Shower, 5.7 gpm or less</t>
        </is>
      </c>
      <c r="B42" s="66" t="n">
        <v>2</v>
      </c>
      <c r="C42" s="9" t="inlineStr">
        <is>
          <t>1-1/2</t>
        </is>
      </c>
    </row>
    <row r="43">
      <c r="A43" s="9" t="inlineStr">
        <is>
          <t>Shower, over 5.7 to 12.3 gpm</t>
        </is>
      </c>
      <c r="B43" s="66" t="n">
        <v>3</v>
      </c>
      <c r="C43" s="9" t="inlineStr">
        <is>
          <t>2</t>
        </is>
      </c>
    </row>
    <row r="44">
      <c r="A44" s="9" t="inlineStr">
        <is>
          <t>Kitchen sink, domestic (disposer and/or dishwasher incl.)</t>
        </is>
      </c>
      <c r="B44" s="66" t="n">
        <v>2</v>
      </c>
      <c r="C44" s="9" t="inlineStr">
        <is>
          <t>1-1/2</t>
        </is>
      </c>
    </row>
    <row r="45">
      <c r="A45" s="9" t="inlineStr">
        <is>
          <t>Dishwasher, domestic</t>
        </is>
      </c>
      <c r="B45" s="66" t="n">
        <v>2</v>
      </c>
      <c r="C45" s="9" t="inlineStr">
        <is>
          <t>1-1/2</t>
        </is>
      </c>
    </row>
    <row r="46">
      <c r="A46" s="9" t="inlineStr">
        <is>
          <t>Clothes washer, residential</t>
        </is>
      </c>
      <c r="B46" s="66" t="n">
        <v>2</v>
      </c>
      <c r="C46" s="9" t="inlineStr">
        <is>
          <t>2</t>
        </is>
      </c>
    </row>
    <row r="47">
      <c r="A47" s="9" t="inlineStr">
        <is>
          <t>Clothes washer, commercial</t>
        </is>
      </c>
      <c r="B47" s="66" t="n">
        <v>3</v>
      </c>
      <c r="C47" s="9" t="inlineStr">
        <is>
          <t>2</t>
        </is>
      </c>
    </row>
    <row r="48">
      <c r="A48" s="9" t="inlineStr">
        <is>
          <t>Laundry tray, 1 or 2 compartments</t>
        </is>
      </c>
      <c r="B48" s="66" t="n">
        <v>2</v>
      </c>
      <c r="C48" s="9" t="inlineStr">
        <is>
          <t>1-1/2</t>
        </is>
      </c>
    </row>
    <row r="49">
      <c r="A49" s="9" t="inlineStr">
        <is>
          <t>Service sink / slop sink</t>
        </is>
      </c>
      <c r="B49" s="66" t="n">
        <v>2</v>
      </c>
      <c r="C49" s="9" t="inlineStr">
        <is>
          <t>1-1/2</t>
        </is>
      </c>
    </row>
    <row r="50">
      <c r="A50" s="9" t="inlineStr">
        <is>
          <t>Floor drain</t>
        </is>
      </c>
      <c r="B50" s="66" t="n">
        <v>2</v>
      </c>
      <c r="C50" s="9" t="inlineStr">
        <is>
          <t>2</t>
        </is>
      </c>
    </row>
    <row r="51">
      <c r="A51" s="9" t="inlineStr">
        <is>
          <t>Emergency floor drain</t>
        </is>
      </c>
      <c r="B51" s="66" t="n">
        <v>0</v>
      </c>
      <c r="C51" s="9" t="inlineStr">
        <is>
          <t>2</t>
        </is>
      </c>
    </row>
    <row r="52">
      <c r="A52" s="9" t="inlineStr">
        <is>
          <t>Drinking fountain</t>
        </is>
      </c>
      <c r="B52" s="62" t="n">
        <v>0.5</v>
      </c>
      <c r="C52" s="9" t="inlineStr">
        <is>
          <t>1-1/4</t>
        </is>
      </c>
    </row>
    <row r="53">
      <c r="A53" s="9" t="inlineStr">
        <is>
          <t>Urinal</t>
        </is>
      </c>
      <c r="B53" s="66" t="n">
        <v>4</v>
      </c>
      <c r="C53" s="9" t="inlineStr">
        <is>
          <t>—</t>
        </is>
      </c>
    </row>
    <row r="54">
      <c r="A54" s="9" t="inlineStr">
        <is>
          <t>Urinal, 1 gpf or less</t>
        </is>
      </c>
      <c r="B54" s="66" t="n">
        <v>2</v>
      </c>
      <c r="C54" s="9" t="inlineStr">
        <is>
          <t>—</t>
        </is>
      </c>
    </row>
    <row r="55" ht="42" customHeight="1">
      <c r="A55" s="61" t="inlineStr">
        <is>
          <t>Fixture not on the list? Rate it by its trap size (IPC Table 709.2): 1-1/4 in trap = 1 DFU, 1-1/2 in = 2, 2 in = 3, 3 in = 5, 4 in = 6. Add the DFUs up and size the drain from the table below.</t>
        </is>
      </c>
    </row>
    <row r="57" ht="20" customHeight="1">
      <c r="A57" s="35" t="inlineStr">
        <is>
          <t>BUILDING DRAIN CAPACITY - most DFU a drain may carry, by size and slope (IPC Table 710.1(1))</t>
        </is>
      </c>
    </row>
    <row r="58">
      <c r="A58" s="14" t="inlineStr">
        <is>
          <t>Pipe size</t>
        </is>
      </c>
      <c r="B58" s="14" t="inlineStr">
        <is>
          <t>DFU @ 1/8 in/ft</t>
        </is>
      </c>
      <c r="C58" s="14" t="inlineStr">
        <is>
          <t>DFU @ 1/4 in/ft</t>
        </is>
      </c>
      <c r="D58" s="14" t="inlineStr">
        <is>
          <t>DFU @ 1/2 in/ft</t>
        </is>
      </c>
    </row>
    <row r="59">
      <c r="A59" s="9" t="inlineStr">
        <is>
          <t>2 in</t>
        </is>
      </c>
      <c r="B59" s="9" t="inlineStr">
        <is>
          <t>—</t>
        </is>
      </c>
      <c r="C59" s="66" t="n">
        <v>21</v>
      </c>
      <c r="D59" s="66" t="n">
        <v>26</v>
      </c>
    </row>
    <row r="60">
      <c r="A60" s="9" t="inlineStr">
        <is>
          <t>2-1/2 in</t>
        </is>
      </c>
      <c r="B60" s="9" t="inlineStr">
        <is>
          <t>—</t>
        </is>
      </c>
      <c r="C60" s="66" t="n">
        <v>24</v>
      </c>
      <c r="D60" s="66" t="n">
        <v>31</v>
      </c>
    </row>
    <row r="61">
      <c r="A61" s="9" t="inlineStr">
        <is>
          <t>3 in</t>
        </is>
      </c>
      <c r="B61" s="66" t="n">
        <v>36</v>
      </c>
      <c r="C61" s="66" t="n">
        <v>42</v>
      </c>
      <c r="D61" s="66" t="n">
        <v>50</v>
      </c>
    </row>
    <row r="62">
      <c r="A62" s="9" t="inlineStr">
        <is>
          <t>4 in</t>
        </is>
      </c>
      <c r="B62" s="66" t="n">
        <v>180</v>
      </c>
      <c r="C62" s="66" t="n">
        <v>216</v>
      </c>
      <c r="D62" s="66" t="n">
        <v>250</v>
      </c>
    </row>
    <row r="63">
      <c r="A63" s="9" t="inlineStr">
        <is>
          <t>5 in</t>
        </is>
      </c>
      <c r="B63" s="66" t="n">
        <v>390</v>
      </c>
      <c r="C63" s="66" t="n">
        <v>480</v>
      </c>
      <c r="D63" s="66" t="n">
        <v>575</v>
      </c>
    </row>
    <row r="64">
      <c r="A64" s="9" t="inlineStr">
        <is>
          <t>6 in</t>
        </is>
      </c>
      <c r="B64" s="66" t="n">
        <v>700</v>
      </c>
      <c r="C64" s="66" t="n">
        <v>840</v>
      </c>
      <c r="D64" s="66" t="n">
        <v>1000</v>
      </c>
    </row>
    <row r="65" ht="42" customHeight="1">
      <c r="A65" s="61" t="inlineStr">
        <is>
          <t>For building drains, building sewers and their horizontal branches. Any drain that carries a water closet must be 3 in or larger. Stacks and horizontal fixture branches are sized from different tables (IPC 710.1(2)) - do not mix them.</t>
        </is>
      </c>
    </row>
    <row r="67" ht="20" customHeight="1">
      <c r="A67" s="35" t="inlineStr">
        <is>
          <t>HEAD, PRESSURE &amp; ROUGH-IN - quick numbers</t>
        </is>
      </c>
    </row>
    <row r="68" ht="28" customHeight="1">
      <c r="A68" s="61" t="inlineStr">
        <is>
          <t>•  1 psi of pressure lifts water 2.31 ft - and every foot of height costs 0.433 psi. A second-floor shower 10 ft above the main loses about 4.3 psi on the way up.</t>
        </is>
      </c>
    </row>
    <row r="69" ht="28" customHeight="1">
      <c r="A69" s="61" t="inlineStr">
        <is>
          <t>•  Water weighs 8.34 lb per gallon. The water alone in a full 40-gallon heater weighs about 334 lb - set the pan and the floor accordingly.</t>
        </is>
      </c>
    </row>
    <row r="70" ht="28" customHeight="1">
      <c r="A70" s="61" t="inlineStr">
        <is>
          <t>•  1 cubic foot = 7.48 gallons - the conversion behind every volume number on the Plumbing sheet.</t>
        </is>
      </c>
    </row>
    <row r="71" ht="28" customHeight="1">
      <c r="A71" s="61" t="inlineStr">
        <is>
          <t>•  House static pressure belongs between 40 and 80 psi. Over 80 psi the code (IPC 604.8) calls for a pressure-reducing valve.</t>
        </is>
      </c>
    </row>
    <row r="72" ht="28" customHeight="1">
      <c r="A72" s="61" t="inlineStr">
        <is>
          <t>•  Water-heater T&amp;P relief valves open at 150 psi or 210 °F. Never plug one, cap one, or reduce its discharge line.</t>
        </is>
      </c>
    </row>
    <row r="73" ht="28" customHeight="1">
      <c r="A73" s="61" t="inlineStr">
        <is>
          <t>•  Toilet rough-in: the flange centerline sits 12 in off the finished wall (10 in and 14 in are specialty sizes). The supply stop typically lands about 6 in above the floor and 6 in left of the centerline.</t>
        </is>
      </c>
    </row>
    <row r="74" ht="28" customHeight="1">
      <c r="A74" s="61" t="inlineStr">
        <is>
          <t>•  Longest trap arm allowed (IPC Table 909.1): 1-1/4 in - 5 ft; 1-1/2 in - 6 ft; 2 in - 8 ft; 3 in - 12 ft, at code slope. UPC allows less - check locally.</t>
        </is>
      </c>
    </row>
    <row r="75" ht="28" customHeight="1">
      <c r="A75" s="61" t="inlineStr">
        <is>
          <t>•  Fitting take-outs: cut length = center-to-center minus the take-out at each end, and take-out = center-to-end minus socket depth. Take-outs vary by brand and fitting pattern, so measure the fitting in your hand instead of trusting a generic chart.</t>
        </is>
      </c>
    </row>
    <row r="77" ht="56" customHeight="1">
      <c r="A77" s="61" t="inlineStr">
        <is>
          <t>Sources: Schedule 40 dimensions as printed on the Plumbing sheet; copper tube dimensions per ASTM B88; PEX IDs are published SDR-9 figures (approximate); slope per IPC Table 704.1; fixture units per IPC Tables 709.1 and 709.2; drain capacity per IPC Table 710.1(1); trap arms per IPC Table 909.1; pressure limit per IPC 604.8. The code edition adopted where you work governs.</t>
        </is>
      </c>
    </row>
  </sheetData>
  <mergeCells count="20">
    <mergeCell ref="A17:J17"/>
    <mergeCell ref="A4:J4"/>
    <mergeCell ref="A72:J72"/>
    <mergeCell ref="A28:J28"/>
    <mergeCell ref="A68:J68"/>
    <mergeCell ref="A19:J19"/>
    <mergeCell ref="A67:J67"/>
    <mergeCell ref="A30:J30"/>
    <mergeCell ref="A77:J77"/>
    <mergeCell ref="A73:J73"/>
    <mergeCell ref="A1:J1"/>
    <mergeCell ref="A70:J70"/>
    <mergeCell ref="A69:J69"/>
    <mergeCell ref="A65:J65"/>
    <mergeCell ref="A75:J75"/>
    <mergeCell ref="A74:J74"/>
    <mergeCell ref="A55:J55"/>
    <mergeCell ref="A57:J57"/>
    <mergeCell ref="A2:J2"/>
    <mergeCell ref="A71:J71"/>
  </mergeCells>
  <pageMargins left="0.75" right="0.75" top="1" bottom="1" header="0.5" footer="0.5"/>
  <pageSetup orientation="portrait" fitToWidth="1"/>
  <headerFooter>
    <oddHeader>&amp;C&amp;11 Highway 38 Solutions</oddHeader>
    <oddFooter/>
    <evenHeader>&amp;C&amp;11 Highway 38 Solutions</evenHeader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9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56" t="inlineStr">
        <is>
          <t>PLUMBING SIZING - Water supply, gas, expansion tanks &amp; sump pumps</t>
        </is>
      </c>
    </row>
    <row r="2" ht="28" customHeight="1">
      <c r="A2" s="2" t="inlineStr">
        <is>
          <t>Four sizing jobs: water service by fixture units (IPC Appendix E), gas pipe by the longest-length method (IFGC), expansion tank for the water heater, and a sump-pump basin check.</t>
        </is>
      </c>
    </row>
    <row r="4" ht="20" customHeight="1">
      <c r="A4" s="35" t="inlineStr">
        <is>
          <t>1 - WATER SUPPLY SIZING - fixture units (IPC Appendix E)</t>
        </is>
      </c>
    </row>
    <row r="5">
      <c r="A5" s="14" t="inlineStr">
        <is>
          <t>Fixture</t>
        </is>
      </c>
      <c r="B5" s="14" t="inlineStr">
        <is>
          <t>WSFU each</t>
        </is>
      </c>
      <c r="C5" s="14" t="inlineStr">
        <is>
          <t>Count</t>
        </is>
      </c>
      <c r="D5" s="14" t="inlineStr">
        <is>
          <t>Line total</t>
        </is>
      </c>
    </row>
    <row r="6">
      <c r="A6" s="44" t="inlineStr">
        <is>
          <t>Water closet - private, flush tank</t>
        </is>
      </c>
      <c r="B6" s="75" t="n">
        <v>2.2</v>
      </c>
      <c r="C6" s="36" t="n">
        <v>2</v>
      </c>
      <c r="D6" s="75">
        <f>B6*C6</f>
        <v/>
      </c>
    </row>
    <row r="7">
      <c r="A7" s="44" t="inlineStr">
        <is>
          <t>Water closet - private, flush valve</t>
        </is>
      </c>
      <c r="B7" s="75" t="n">
        <v>6</v>
      </c>
      <c r="C7" s="36" t="n">
        <v>0</v>
      </c>
      <c r="D7" s="75">
        <f>B7*C7</f>
        <v/>
      </c>
    </row>
    <row r="8">
      <c r="A8" s="44" t="inlineStr">
        <is>
          <t>Water closet - public, flush tank</t>
        </is>
      </c>
      <c r="B8" s="75" t="n">
        <v>5</v>
      </c>
      <c r="C8" s="36" t="n">
        <v>0</v>
      </c>
      <c r="D8" s="75">
        <f>B8*C8</f>
        <v/>
      </c>
    </row>
    <row r="9">
      <c r="A9" s="44" t="inlineStr">
        <is>
          <t>Water closet - public, flush valve</t>
        </is>
      </c>
      <c r="B9" s="75" t="n">
        <v>10</v>
      </c>
      <c r="C9" s="36" t="n">
        <v>0</v>
      </c>
      <c r="D9" s="75">
        <f>B9*C9</f>
        <v/>
      </c>
    </row>
    <row r="10">
      <c r="A10" s="44" t="inlineStr">
        <is>
          <t>Lavatory - private</t>
        </is>
      </c>
      <c r="B10" s="75" t="n">
        <v>0.7</v>
      </c>
      <c r="C10" s="36" t="n">
        <v>2</v>
      </c>
      <c r="D10" s="75">
        <f>B10*C10</f>
        <v/>
      </c>
    </row>
    <row r="11">
      <c r="A11" s="44" t="inlineStr">
        <is>
          <t>Lavatory - public</t>
        </is>
      </c>
      <c r="B11" s="75" t="n">
        <v>2</v>
      </c>
      <c r="C11" s="36" t="n">
        <v>0</v>
      </c>
      <c r="D11" s="75">
        <f>B11*C11</f>
        <v/>
      </c>
    </row>
    <row r="12">
      <c r="A12" s="44" t="inlineStr">
        <is>
          <t>Bathtub - private</t>
        </is>
      </c>
      <c r="B12" s="75" t="n">
        <v>1.4</v>
      </c>
      <c r="C12" s="36" t="n">
        <v>1</v>
      </c>
      <c r="D12" s="75">
        <f>B12*C12</f>
        <v/>
      </c>
    </row>
    <row r="13">
      <c r="A13" s="44" t="inlineStr">
        <is>
          <t>Bathtub - public</t>
        </is>
      </c>
      <c r="B13" s="75" t="n">
        <v>4</v>
      </c>
      <c r="C13" s="36" t="n">
        <v>0</v>
      </c>
      <c r="D13" s="75">
        <f>B13*C13</f>
        <v/>
      </c>
    </row>
    <row r="14">
      <c r="A14" s="44" t="inlineStr">
        <is>
          <t>Shower head - private</t>
        </is>
      </c>
      <c r="B14" s="75" t="n">
        <v>1.4</v>
      </c>
      <c r="C14" s="36" t="n">
        <v>1</v>
      </c>
      <c r="D14" s="75">
        <f>B14*C14</f>
        <v/>
      </c>
    </row>
    <row r="15">
      <c r="A15" s="44" t="inlineStr">
        <is>
          <t>Shower head - public</t>
        </is>
      </c>
      <c r="B15" s="75" t="n">
        <v>4</v>
      </c>
      <c r="C15" s="36" t="n">
        <v>0</v>
      </c>
      <c r="D15" s="75">
        <f>B15*C15</f>
        <v/>
      </c>
    </row>
    <row r="16">
      <c r="A16" s="44" t="inlineStr">
        <is>
          <t>Kitchen sink - private</t>
        </is>
      </c>
      <c r="B16" s="75" t="n">
        <v>1.4</v>
      </c>
      <c r="C16" s="36" t="n">
        <v>1</v>
      </c>
      <c r="D16" s="75">
        <f>B16*C16</f>
        <v/>
      </c>
    </row>
    <row r="17">
      <c r="A17" s="44" t="inlineStr">
        <is>
          <t>Kitchen sink - hotel / restaurant</t>
        </is>
      </c>
      <c r="B17" s="75" t="n">
        <v>4</v>
      </c>
      <c r="C17" s="36" t="n">
        <v>0</v>
      </c>
      <c r="D17" s="75">
        <f>B17*C17</f>
        <v/>
      </c>
    </row>
    <row r="18">
      <c r="A18" s="44" t="inlineStr">
        <is>
          <t>Dishwashing machine - private</t>
        </is>
      </c>
      <c r="B18" s="75" t="n">
        <v>1.4</v>
      </c>
      <c r="C18" s="36" t="n">
        <v>1</v>
      </c>
      <c r="D18" s="75">
        <f>B18*C18</f>
        <v/>
      </c>
    </row>
    <row r="19">
      <c r="A19" s="44" t="inlineStr">
        <is>
          <t>Washing machine - private</t>
        </is>
      </c>
      <c r="B19" s="75" t="n">
        <v>1.4</v>
      </c>
      <c r="C19" s="36" t="n">
        <v>1</v>
      </c>
      <c r="D19" s="75">
        <f>B19*C19</f>
        <v/>
      </c>
    </row>
    <row r="20">
      <c r="A20" s="44" t="inlineStr">
        <is>
          <t>Washing machine - public</t>
        </is>
      </c>
      <c r="B20" s="75" t="n">
        <v>3</v>
      </c>
      <c r="C20" s="36" t="n">
        <v>0</v>
      </c>
      <c r="D20" s="75">
        <f>B20*C20</f>
        <v/>
      </c>
    </row>
    <row r="21">
      <c r="A21" s="44" t="inlineStr">
        <is>
          <t>Laundry trays - private</t>
        </is>
      </c>
      <c r="B21" s="75" t="n">
        <v>1.4</v>
      </c>
      <c r="C21" s="36" t="n">
        <v>0</v>
      </c>
      <c r="D21" s="75">
        <f>B21*C21</f>
        <v/>
      </c>
    </row>
    <row r="22">
      <c r="A22" s="44" t="inlineStr">
        <is>
          <t>Bathroom group - private, flush tank</t>
        </is>
      </c>
      <c r="B22" s="75" t="n">
        <v>3.6</v>
      </c>
      <c r="C22" s="36" t="n">
        <v>0</v>
      </c>
      <c r="D22" s="75">
        <f>B22*C22</f>
        <v/>
      </c>
    </row>
    <row r="23">
      <c r="A23" s="44" t="inlineStr">
        <is>
          <t>Service sink</t>
        </is>
      </c>
      <c r="B23" s="75" t="n">
        <v>3</v>
      </c>
      <c r="C23" s="36" t="n">
        <v>0</v>
      </c>
      <c r="D23" s="75">
        <f>B23*C23</f>
        <v/>
      </c>
    </row>
    <row r="24">
      <c r="A24" s="44" t="inlineStr">
        <is>
          <t>Urinal - public, flush valve</t>
        </is>
      </c>
      <c r="B24" s="75" t="n">
        <v>5</v>
      </c>
      <c r="C24" s="36" t="n">
        <v>0</v>
      </c>
      <c r="D24" s="75">
        <f>B24*C24</f>
        <v/>
      </c>
    </row>
    <row r="25">
      <c r="A25" s="44" t="inlineStr">
        <is>
          <t>Urinal - public, flush tank</t>
        </is>
      </c>
      <c r="B25" s="75" t="n">
        <v>3</v>
      </c>
      <c r="C25" s="36" t="n">
        <v>0</v>
      </c>
      <c r="D25" s="75">
        <f>B25*C25</f>
        <v/>
      </c>
    </row>
    <row r="26">
      <c r="A26" s="44" t="inlineStr">
        <is>
          <t>Drinking fountain</t>
        </is>
      </c>
      <c r="B26" s="75" t="n">
        <v>0.25</v>
      </c>
      <c r="C26" s="36" t="n">
        <v>0</v>
      </c>
      <c r="D26" s="75">
        <f>B26*C26</f>
        <v/>
      </c>
    </row>
    <row r="27">
      <c r="A27" s="44" t="inlineStr">
        <is>
          <t>Other fixtures - WSFU each (type it) and count</t>
        </is>
      </c>
      <c r="B27" s="73" t="n">
        <v>0</v>
      </c>
      <c r="C27" s="36" t="n">
        <v>0</v>
      </c>
      <c r="D27" s="75">
        <f>B27*C27</f>
        <v/>
      </c>
    </row>
    <row r="28">
      <c r="A28" s="14" t="inlineStr">
        <is>
          <t>TOTAL FIXTURE UNITS (WSFU)</t>
        </is>
      </c>
      <c r="B28" s="78">
        <f>SUM(D6:D27)</f>
        <v/>
      </c>
    </row>
    <row r="29">
      <c r="A29" s="14" t="inlineStr">
        <is>
          <t>ESTIMATED DEMAND (gallons per minute)</t>
        </is>
      </c>
      <c r="B29" s="78">
        <f>IF(B28=0,0,IF(B28&lt;1,3*B28,IF(B28&gt;=500,124,INDEX($B$122:$B$161,MATCH(B28,$A$122:$A$161,1))+(B28-INDEX($A$122:$A$161,MATCH(B28,$A$122:$A$161,1)))*(INDEX($B$122:$B$161,MATCH(B28,$A$122:$A$161,1)+1)-INDEX($B$122:$B$161,MATCH(B28,$A$122:$A$161,1)))/(INDEX($A$122:$A$161,MATCH(B28,$A$122:$A$161,1)+1)-INDEX($A$122:$A$161,MATCH(B28,$A$122:$A$161,1))))))</f>
        <v/>
      </c>
      <c r="C29" s="69" t="inlineStr">
        <is>
          <t>Table E103.3(3), flush-tank systems, interpolated - anchor table at the bottom of this sheet.</t>
        </is>
      </c>
    </row>
    <row r="30">
      <c r="A30" s="9" t="inlineStr">
        <is>
          <t>Max design velocity (ft/s)</t>
        </is>
      </c>
      <c r="B30" s="73" t="n">
        <v>8</v>
      </c>
      <c r="C30" s="69" t="inlineStr">
        <is>
          <t>8 ft/s is the usual design ceiling; 5 ft/s runs quieter.</t>
        </is>
      </c>
    </row>
    <row r="31">
      <c r="A31" s="14" t="inlineStr">
        <is>
          <t>RECOMMENDED SERVICE SIZE (Type L copper)</t>
        </is>
      </c>
      <c r="B31" s="47">
        <f>IF(B29=0,"—",IF(B29&gt;MAX($C$37:$C$44),"Larger than 3 in",INDEX($A$37:$A$44,SUMPRODUCT(--($C$37:$C$44&lt;B29))+1)))</f>
        <v/>
      </c>
    </row>
    <row r="32">
      <c r="A32" s="9" t="inlineStr">
        <is>
          <t>Water velocity in that size (ft/s)</t>
        </is>
      </c>
      <c r="B32" s="76">
        <f>IFERROR(B29/(2.448*VLOOKUP(B31,$A$37:$B$44,2,FALSE)^2),"—")</f>
        <v/>
      </c>
    </row>
    <row r="33">
      <c r="A33" s="69" t="inlineStr">
        <is>
          <t>Fixture units are the total-load values from IPC Table E103.3(2). A bathroom group counted as a group should not also be counted fixture by fixture. Flush-valve systems demand more water at the same fixture-unit count - Appendix E carries a separate, higher conversion table for them. Hot-only or cold-only branches take 3/4 of the total load per Appendix E.</t>
        </is>
      </c>
    </row>
    <row r="35">
      <c r="A35" s="14" t="inlineStr">
        <is>
          <t>Reference - Type L copper tube: inside diameter and flow capacity at your velocity</t>
        </is>
      </c>
    </row>
    <row r="36">
      <c r="A36" s="14" t="inlineStr">
        <is>
          <t>Service size</t>
        </is>
      </c>
      <c r="B36" s="14" t="inlineStr">
        <is>
          <t>Inside dia (in)</t>
        </is>
      </c>
      <c r="C36" s="14" t="inlineStr">
        <is>
          <t>Capacity at your velocity (gpm)</t>
        </is>
      </c>
    </row>
    <row r="37">
      <c r="A37" s="44" t="inlineStr">
        <is>
          <t>1/2″</t>
        </is>
      </c>
      <c r="B37" s="38" t="n">
        <v>0.545</v>
      </c>
      <c r="C37" s="75">
        <f>2.448*B37^2*$B$30</f>
        <v/>
      </c>
    </row>
    <row r="38">
      <c r="A38" s="44" t="inlineStr">
        <is>
          <t>3/4″</t>
        </is>
      </c>
      <c r="B38" s="38" t="n">
        <v>0.785</v>
      </c>
      <c r="C38" s="75">
        <f>2.448*B38^2*$B$30</f>
        <v/>
      </c>
    </row>
    <row r="39">
      <c r="A39" s="44" t="inlineStr">
        <is>
          <t>1″</t>
        </is>
      </c>
      <c r="B39" s="38" t="n">
        <v>1.025</v>
      </c>
      <c r="C39" s="75">
        <f>2.448*B39^2*$B$30</f>
        <v/>
      </c>
    </row>
    <row r="40">
      <c r="A40" s="44" t="inlineStr">
        <is>
          <t>1-1/4″</t>
        </is>
      </c>
      <c r="B40" s="38" t="n">
        <v>1.265</v>
      </c>
      <c r="C40" s="75">
        <f>2.448*B40^2*$B$30</f>
        <v/>
      </c>
    </row>
    <row r="41">
      <c r="A41" s="44" t="inlineStr">
        <is>
          <t>1-1/2″</t>
        </is>
      </c>
      <c r="B41" s="38" t="n">
        <v>1.505</v>
      </c>
      <c r="C41" s="75">
        <f>2.448*B41^2*$B$30</f>
        <v/>
      </c>
    </row>
    <row r="42">
      <c r="A42" s="44" t="inlineStr">
        <is>
          <t>2″</t>
        </is>
      </c>
      <c r="B42" s="38" t="n">
        <v>1.985</v>
      </c>
      <c r="C42" s="75">
        <f>2.448*B42^2*$B$30</f>
        <v/>
      </c>
    </row>
    <row r="43">
      <c r="A43" s="44" t="inlineStr">
        <is>
          <t>2-1/2″</t>
        </is>
      </c>
      <c r="B43" s="38" t="n">
        <v>2.465</v>
      </c>
      <c r="C43" s="75">
        <f>2.448*B43^2*$B$30</f>
        <v/>
      </c>
    </row>
    <row r="44">
      <c r="A44" s="44" t="inlineStr">
        <is>
          <t>3″</t>
        </is>
      </c>
      <c r="B44" s="38" t="n">
        <v>2.945</v>
      </c>
      <c r="C44" s="75">
        <f>2.448*B44^2*$B$30</f>
        <v/>
      </c>
    </row>
    <row r="46" ht="20" customHeight="1">
      <c r="A46" s="35" t="inlineStr">
        <is>
          <t>2 - GAS LINE SIZING - longest-length method (IFGC Table 402.4(2))</t>
        </is>
      </c>
    </row>
    <row r="47">
      <c r="A47" s="9" t="inlineStr">
        <is>
          <t>Longest run, meter to farthest appliance (ft)</t>
        </is>
      </c>
      <c r="B47" s="36" t="n">
        <v>60</v>
      </c>
      <c r="C47" s="69" t="inlineStr">
        <is>
          <t>Use a length from the table below - if yours falls between, use the next longer row.</t>
        </is>
      </c>
    </row>
    <row r="48">
      <c r="A48" s="9" t="inlineStr">
        <is>
          <t>Gas heating value (BTU per cubic foot)</t>
        </is>
      </c>
      <c r="B48" s="36" t="n">
        <v>1000</v>
      </c>
      <c r="C48" s="69" t="inlineStr">
        <is>
          <t>1,000 is the standard planning number; your utility can give the local value.</t>
        </is>
      </c>
    </row>
    <row r="49">
      <c r="A49" s="14" t="inlineStr">
        <is>
          <t>Appliances on the system (nameplate BTU/hr)</t>
        </is>
      </c>
    </row>
    <row r="50">
      <c r="A50" s="44" t="inlineStr">
        <is>
          <t>Furnace / boiler</t>
        </is>
      </c>
      <c r="B50" s="36" t="n">
        <v>80000</v>
      </c>
    </row>
    <row r="51">
      <c r="A51" s="44" t="inlineStr">
        <is>
          <t>Water heater</t>
        </is>
      </c>
      <c r="B51" s="36" t="n">
        <v>40000</v>
      </c>
    </row>
    <row r="52">
      <c r="A52" s="44" t="inlineStr">
        <is>
          <t>Range / cooktop</t>
        </is>
      </c>
      <c r="B52" s="36" t="n">
        <v>65000</v>
      </c>
    </row>
    <row r="53">
      <c r="A53" s="44" t="inlineStr">
        <is>
          <t>Clothes dryer</t>
        </is>
      </c>
      <c r="B53" s="36" t="n">
        <v>22000</v>
      </c>
    </row>
    <row r="54">
      <c r="A54" s="44" t="inlineStr">
        <is>
          <t>Gas fireplace</t>
        </is>
      </c>
      <c r="B54" s="36" t="n">
        <v>0</v>
      </c>
    </row>
    <row r="55">
      <c r="A55" s="44" t="inlineStr">
        <is>
          <t>Other appliance</t>
        </is>
      </c>
      <c r="B55" s="36" t="n">
        <v>0</v>
      </c>
    </row>
    <row r="56">
      <c r="A56" s="14" t="inlineStr">
        <is>
          <t>Total connected load (BTU/hr)</t>
        </is>
      </c>
      <c r="B56" s="46">
        <f>SUM(B50:B55)</f>
        <v/>
      </c>
    </row>
    <row r="57">
      <c r="A57" s="9" t="inlineStr">
        <is>
          <t>Required flow (cubic ft of gas per hour)</t>
        </is>
      </c>
      <c r="B57" s="75">
        <f>IF(B48&gt;0,B56/B48,0)</f>
        <v/>
      </c>
    </row>
    <row r="58">
      <c r="A58" s="14" t="inlineStr">
        <is>
          <t>SMALLEST PIPE SIZE for the full load at that run</t>
        </is>
      </c>
      <c r="B58" s="47">
        <f>IF(B57&gt;MAX($B$63:$J$63),"Bigger than 4 in - engineered sizing",INDEX($B$62:$J$62,SUMPRODUCT(--($B$63:$J$63&lt;B57))+1))</f>
        <v/>
      </c>
    </row>
    <row r="59">
      <c r="A59" s="9" t="inlineStr">
        <is>
          <t>Capacity of that size at that run (cfh)</t>
        </is>
      </c>
      <c r="B59" s="79">
        <f>IFERROR(INDEX($B$63:$J$63,SUMPRODUCT(--($B$63:$J$63&lt;B57))+1),"—")</f>
        <v/>
      </c>
    </row>
    <row r="60">
      <c r="A60" s="69" t="inlineStr">
        <is>
          <t>Longest-length method: size every section as if it were the longest run - simple, and it errs safe. The size above carries the FULL load (the main run). A branch feeding one appliance is sized from the same table with only that appliance's load and the same longest length. Table conditions: natural gas, inlet under 2 psi, 0.5 in. w.c. pressure drop, specific gravity 0.60. CSST (yellow flex) is NOT sized from this table - every brand publishes its own EHD capacity table; use the manufacturer's.</t>
        </is>
      </c>
    </row>
    <row r="61">
      <c r="A61" s="14" t="inlineStr">
        <is>
          <t>Capacity at your longest run (cfh) - pulled from the table</t>
        </is>
      </c>
    </row>
    <row r="62">
      <c r="A62" s="14" t="inlineStr"/>
      <c r="B62" s="14" t="inlineStr">
        <is>
          <t>1/2″</t>
        </is>
      </c>
      <c r="C62" s="14" t="inlineStr">
        <is>
          <t>3/4″</t>
        </is>
      </c>
      <c r="D62" s="14" t="inlineStr">
        <is>
          <t>1″</t>
        </is>
      </c>
      <c r="E62" s="14" t="inlineStr">
        <is>
          <t>1-1/4″</t>
        </is>
      </c>
      <c r="F62" s="14" t="inlineStr">
        <is>
          <t>1-1/2″</t>
        </is>
      </c>
      <c r="G62" s="14" t="inlineStr">
        <is>
          <t>2″</t>
        </is>
      </c>
      <c r="H62" s="14" t="inlineStr">
        <is>
          <t>2-1/2″</t>
        </is>
      </c>
      <c r="I62" s="14" t="inlineStr">
        <is>
          <t>3″</t>
        </is>
      </c>
      <c r="J62" s="14" t="inlineStr">
        <is>
          <t>4″</t>
        </is>
      </c>
    </row>
    <row r="63">
      <c r="A63" s="9" t="inlineStr">
        <is>
          <t>Capacity at your longest run (cfh)</t>
        </is>
      </c>
      <c r="B63" s="79">
        <f>IFERROR(INDEX(B$67:B$82,MATCH(IF(ISNUMBER(B47),B47,VALUE(B47)),$A$67:$A$82,0)),"—")</f>
        <v/>
      </c>
      <c r="C63" s="79">
        <f>IFERROR(INDEX(C$67:C$82,MATCH(IF(ISNUMBER(B47),B47,VALUE(B47)),$A$67:$A$82,0)),"—")</f>
        <v/>
      </c>
      <c r="D63" s="79">
        <f>IFERROR(INDEX(D$67:D$82,MATCH(IF(ISNUMBER(B47),B47,VALUE(B47)),$A$67:$A$82,0)),"—")</f>
        <v/>
      </c>
      <c r="E63" s="79">
        <f>IFERROR(INDEX(E$67:E$82,MATCH(IF(ISNUMBER(B47),B47,VALUE(B47)),$A$67:$A$82,0)),"—")</f>
        <v/>
      </c>
      <c r="F63" s="79">
        <f>IFERROR(INDEX(F$67:F$82,MATCH(IF(ISNUMBER(B47),B47,VALUE(B47)),$A$67:$A$82,0)),"—")</f>
        <v/>
      </c>
      <c r="G63" s="79">
        <f>IFERROR(INDEX(G$67:G$82,MATCH(IF(ISNUMBER(B47),B47,VALUE(B47)),$A$67:$A$82,0)),"—")</f>
        <v/>
      </c>
      <c r="H63" s="79">
        <f>IFERROR(INDEX(H$67:H$82,MATCH(IF(ISNUMBER(B47),B47,VALUE(B47)),$A$67:$A$82,0)),"—")</f>
        <v/>
      </c>
      <c r="I63" s="79">
        <f>IFERROR(INDEX(I$67:I$82,MATCH(IF(ISNUMBER(B47),B47,VALUE(B47)),$A$67:$A$82,0)),"—")</f>
        <v/>
      </c>
      <c r="J63" s="79">
        <f>IFERROR(INDEX(J$67:J$82,MATCH(IF(ISNUMBER(B47),B47,VALUE(B47)),$A$67:$A$82,0)),"—")</f>
        <v/>
      </c>
    </row>
    <row r="65">
      <c r="A65" s="14" t="inlineStr">
        <is>
          <t>Reference - IFGC Table 402.4(2): capacity in cubic feet per hour, Schedule 40 metallic pipe</t>
        </is>
      </c>
    </row>
    <row r="66">
      <c r="A66" s="14" t="inlineStr">
        <is>
          <t>Length (ft)</t>
        </is>
      </c>
      <c r="B66" s="14" t="inlineStr">
        <is>
          <t>1/2″</t>
        </is>
      </c>
      <c r="C66" s="14" t="inlineStr">
        <is>
          <t>3/4″</t>
        </is>
      </c>
      <c r="D66" s="14" t="inlineStr">
        <is>
          <t>1″</t>
        </is>
      </c>
      <c r="E66" s="14" t="inlineStr">
        <is>
          <t>1-1/4″</t>
        </is>
      </c>
      <c r="F66" s="14" t="inlineStr">
        <is>
          <t>1-1/2″</t>
        </is>
      </c>
      <c r="G66" s="14" t="inlineStr">
        <is>
          <t>2″</t>
        </is>
      </c>
      <c r="H66" s="14" t="inlineStr">
        <is>
          <t>2-1/2″</t>
        </is>
      </c>
      <c r="I66" s="14" t="inlineStr">
        <is>
          <t>3″</t>
        </is>
      </c>
      <c r="J66" s="14" t="inlineStr">
        <is>
          <t>4″</t>
        </is>
      </c>
    </row>
    <row r="67">
      <c r="A67" s="39" t="n">
        <v>10</v>
      </c>
      <c r="B67" s="39" t="n">
        <v>172</v>
      </c>
      <c r="C67" s="39" t="n">
        <v>360</v>
      </c>
      <c r="D67" s="39" t="n">
        <v>678</v>
      </c>
      <c r="E67" s="39" t="n">
        <v>1390</v>
      </c>
      <c r="F67" s="39" t="n">
        <v>2090</v>
      </c>
      <c r="G67" s="39" t="n">
        <v>4020</v>
      </c>
      <c r="H67" s="39" t="n">
        <v>6400</v>
      </c>
      <c r="I67" s="39" t="n">
        <v>11300</v>
      </c>
      <c r="J67" s="39" t="n">
        <v>23100</v>
      </c>
    </row>
    <row r="68">
      <c r="A68" s="39" t="n">
        <v>20</v>
      </c>
      <c r="B68" s="39" t="n">
        <v>118</v>
      </c>
      <c r="C68" s="39" t="n">
        <v>247</v>
      </c>
      <c r="D68" s="39" t="n">
        <v>466</v>
      </c>
      <c r="E68" s="39" t="n">
        <v>957</v>
      </c>
      <c r="F68" s="39" t="n">
        <v>1430</v>
      </c>
      <c r="G68" s="39" t="n">
        <v>2760</v>
      </c>
      <c r="H68" s="39" t="n">
        <v>4400</v>
      </c>
      <c r="I68" s="39" t="n">
        <v>7780</v>
      </c>
      <c r="J68" s="39" t="n">
        <v>15900</v>
      </c>
    </row>
    <row r="69">
      <c r="A69" s="39" t="n">
        <v>30</v>
      </c>
      <c r="B69" s="39" t="n">
        <v>95</v>
      </c>
      <c r="C69" s="39" t="n">
        <v>199</v>
      </c>
      <c r="D69" s="39" t="n">
        <v>374</v>
      </c>
      <c r="E69" s="39" t="n">
        <v>768</v>
      </c>
      <c r="F69" s="39" t="n">
        <v>1150</v>
      </c>
      <c r="G69" s="39" t="n">
        <v>2220</v>
      </c>
      <c r="H69" s="39" t="n">
        <v>3530</v>
      </c>
      <c r="I69" s="39" t="n">
        <v>6250</v>
      </c>
      <c r="J69" s="39" t="n">
        <v>12700</v>
      </c>
    </row>
    <row r="70">
      <c r="A70" s="39" t="n">
        <v>40</v>
      </c>
      <c r="B70" s="39" t="n">
        <v>81</v>
      </c>
      <c r="C70" s="39" t="n">
        <v>170</v>
      </c>
      <c r="D70" s="39" t="n">
        <v>320</v>
      </c>
      <c r="E70" s="39" t="n">
        <v>657</v>
      </c>
      <c r="F70" s="39" t="n">
        <v>985</v>
      </c>
      <c r="G70" s="39" t="n">
        <v>1900</v>
      </c>
      <c r="H70" s="39" t="n">
        <v>3020</v>
      </c>
      <c r="I70" s="39" t="n">
        <v>5350</v>
      </c>
      <c r="J70" s="39" t="n">
        <v>10900</v>
      </c>
    </row>
    <row r="71">
      <c r="A71" s="39" t="n">
        <v>50</v>
      </c>
      <c r="B71" s="39" t="n">
        <v>72</v>
      </c>
      <c r="C71" s="39" t="n">
        <v>151</v>
      </c>
      <c r="D71" s="39" t="n">
        <v>284</v>
      </c>
      <c r="E71" s="39" t="n">
        <v>583</v>
      </c>
      <c r="F71" s="39" t="n">
        <v>873</v>
      </c>
      <c r="G71" s="39" t="n">
        <v>1680</v>
      </c>
      <c r="H71" s="39" t="n">
        <v>2680</v>
      </c>
      <c r="I71" s="39" t="n">
        <v>4740</v>
      </c>
      <c r="J71" s="39" t="n">
        <v>9660</v>
      </c>
    </row>
    <row r="72">
      <c r="A72" s="39" t="n">
        <v>60</v>
      </c>
      <c r="B72" s="39" t="n">
        <v>65</v>
      </c>
      <c r="C72" s="39" t="n">
        <v>137</v>
      </c>
      <c r="D72" s="39" t="n">
        <v>257</v>
      </c>
      <c r="E72" s="39" t="n">
        <v>528</v>
      </c>
      <c r="F72" s="39" t="n">
        <v>791</v>
      </c>
      <c r="G72" s="39" t="n">
        <v>1520</v>
      </c>
      <c r="H72" s="39" t="n">
        <v>2430</v>
      </c>
      <c r="I72" s="39" t="n">
        <v>4290</v>
      </c>
      <c r="J72" s="39" t="n">
        <v>8760</v>
      </c>
    </row>
    <row r="73">
      <c r="A73" s="39" t="n">
        <v>70</v>
      </c>
      <c r="B73" s="39" t="n">
        <v>60</v>
      </c>
      <c r="C73" s="39" t="n">
        <v>126</v>
      </c>
      <c r="D73" s="39" t="n">
        <v>237</v>
      </c>
      <c r="E73" s="39" t="n">
        <v>486</v>
      </c>
      <c r="F73" s="39" t="n">
        <v>728</v>
      </c>
      <c r="G73" s="39" t="n">
        <v>1400</v>
      </c>
      <c r="H73" s="39" t="n">
        <v>2230</v>
      </c>
      <c r="I73" s="39" t="n">
        <v>3950</v>
      </c>
      <c r="J73" s="39" t="n">
        <v>8050</v>
      </c>
    </row>
    <row r="74">
      <c r="A74" s="39" t="n">
        <v>80</v>
      </c>
      <c r="B74" s="39" t="n">
        <v>56</v>
      </c>
      <c r="C74" s="39" t="n">
        <v>117</v>
      </c>
      <c r="D74" s="39" t="n">
        <v>220</v>
      </c>
      <c r="E74" s="39" t="n">
        <v>452</v>
      </c>
      <c r="F74" s="39" t="n">
        <v>677</v>
      </c>
      <c r="G74" s="39" t="n">
        <v>1300</v>
      </c>
      <c r="H74" s="39" t="n">
        <v>2080</v>
      </c>
      <c r="I74" s="39" t="n">
        <v>3670</v>
      </c>
      <c r="J74" s="39" t="n">
        <v>7490</v>
      </c>
    </row>
    <row r="75">
      <c r="A75" s="39" t="n">
        <v>90</v>
      </c>
      <c r="B75" s="39" t="n">
        <v>52</v>
      </c>
      <c r="C75" s="39" t="n">
        <v>110</v>
      </c>
      <c r="D75" s="39" t="n">
        <v>207</v>
      </c>
      <c r="E75" s="39" t="n">
        <v>424</v>
      </c>
      <c r="F75" s="39" t="n">
        <v>635</v>
      </c>
      <c r="G75" s="39" t="n">
        <v>1220</v>
      </c>
      <c r="H75" s="39" t="n">
        <v>1950</v>
      </c>
      <c r="I75" s="39" t="n">
        <v>3450</v>
      </c>
      <c r="J75" s="39" t="n">
        <v>7030</v>
      </c>
    </row>
    <row r="76">
      <c r="A76" s="39" t="n">
        <v>100</v>
      </c>
      <c r="B76" s="39" t="n">
        <v>50</v>
      </c>
      <c r="C76" s="39" t="n">
        <v>104</v>
      </c>
      <c r="D76" s="39" t="n">
        <v>195</v>
      </c>
      <c r="E76" s="39" t="n">
        <v>400</v>
      </c>
      <c r="F76" s="39" t="n">
        <v>600</v>
      </c>
      <c r="G76" s="39" t="n">
        <v>1160</v>
      </c>
      <c r="H76" s="39" t="n">
        <v>1840</v>
      </c>
      <c r="I76" s="39" t="n">
        <v>3260</v>
      </c>
      <c r="J76" s="39" t="n">
        <v>6640</v>
      </c>
    </row>
    <row r="77">
      <c r="A77" s="39" t="n">
        <v>125</v>
      </c>
      <c r="B77" s="39" t="n">
        <v>44</v>
      </c>
      <c r="C77" s="39" t="n">
        <v>92</v>
      </c>
      <c r="D77" s="39" t="n">
        <v>173</v>
      </c>
      <c r="E77" s="39" t="n">
        <v>355</v>
      </c>
      <c r="F77" s="39" t="n">
        <v>532</v>
      </c>
      <c r="G77" s="39" t="n">
        <v>1020</v>
      </c>
      <c r="H77" s="39" t="n">
        <v>1630</v>
      </c>
      <c r="I77" s="39" t="n">
        <v>2890</v>
      </c>
      <c r="J77" s="39" t="n">
        <v>5890</v>
      </c>
    </row>
    <row r="78">
      <c r="A78" s="39" t="n">
        <v>150</v>
      </c>
      <c r="B78" s="39" t="n">
        <v>40</v>
      </c>
      <c r="C78" s="39" t="n">
        <v>83</v>
      </c>
      <c r="D78" s="39" t="n">
        <v>157</v>
      </c>
      <c r="E78" s="39" t="n">
        <v>322</v>
      </c>
      <c r="F78" s="39" t="n">
        <v>482</v>
      </c>
      <c r="G78" s="39" t="n">
        <v>928</v>
      </c>
      <c r="H78" s="39" t="n">
        <v>1480</v>
      </c>
      <c r="I78" s="39" t="n">
        <v>2610</v>
      </c>
      <c r="J78" s="39" t="n">
        <v>5330</v>
      </c>
    </row>
    <row r="79">
      <c r="A79" s="39" t="n">
        <v>175</v>
      </c>
      <c r="B79" s="39" t="n">
        <v>37</v>
      </c>
      <c r="C79" s="39" t="n">
        <v>77</v>
      </c>
      <c r="D79" s="39" t="n">
        <v>144</v>
      </c>
      <c r="E79" s="39" t="n">
        <v>296</v>
      </c>
      <c r="F79" s="39" t="n">
        <v>443</v>
      </c>
      <c r="G79" s="39" t="n">
        <v>854</v>
      </c>
      <c r="H79" s="39" t="n">
        <v>1360</v>
      </c>
      <c r="I79" s="39" t="n">
        <v>2410</v>
      </c>
      <c r="J79" s="39" t="n">
        <v>4910</v>
      </c>
    </row>
    <row r="80">
      <c r="A80" s="39" t="n">
        <v>200</v>
      </c>
      <c r="B80" s="39" t="n">
        <v>34</v>
      </c>
      <c r="C80" s="39" t="n">
        <v>71</v>
      </c>
      <c r="D80" s="39" t="n">
        <v>134</v>
      </c>
      <c r="E80" s="39" t="n">
        <v>275</v>
      </c>
      <c r="F80" s="39" t="n">
        <v>412</v>
      </c>
      <c r="G80" s="39" t="n">
        <v>794</v>
      </c>
      <c r="H80" s="39" t="n">
        <v>1270</v>
      </c>
      <c r="I80" s="39" t="n">
        <v>2240</v>
      </c>
      <c r="J80" s="39" t="n">
        <v>4560</v>
      </c>
    </row>
    <row r="81">
      <c r="A81" s="39" t="n">
        <v>250</v>
      </c>
      <c r="B81" s="39" t="n">
        <v>30</v>
      </c>
      <c r="C81" s="39" t="n">
        <v>63</v>
      </c>
      <c r="D81" s="39" t="n">
        <v>119</v>
      </c>
      <c r="E81" s="39" t="n">
        <v>244</v>
      </c>
      <c r="F81" s="39" t="n">
        <v>366</v>
      </c>
      <c r="G81" s="39" t="n">
        <v>704</v>
      </c>
      <c r="H81" s="39" t="n">
        <v>1120</v>
      </c>
      <c r="I81" s="39" t="n">
        <v>1980</v>
      </c>
      <c r="J81" s="39" t="n">
        <v>4050</v>
      </c>
    </row>
    <row r="82">
      <c r="A82" s="39" t="n">
        <v>300</v>
      </c>
      <c r="B82" s="39" t="n">
        <v>27</v>
      </c>
      <c r="C82" s="39" t="n">
        <v>57</v>
      </c>
      <c r="D82" s="39" t="n">
        <v>108</v>
      </c>
      <c r="E82" s="39" t="n">
        <v>221</v>
      </c>
      <c r="F82" s="39" t="n">
        <v>331</v>
      </c>
      <c r="G82" s="39" t="n">
        <v>638</v>
      </c>
      <c r="H82" s="39" t="n">
        <v>1020</v>
      </c>
      <c r="I82" s="39" t="n">
        <v>1800</v>
      </c>
      <c r="J82" s="39" t="n">
        <v>3670</v>
      </c>
    </row>
    <row r="84" ht="20" customHeight="1">
      <c r="A84" s="35" t="inlineStr">
        <is>
          <t>3 - EXPANSION TANK SIZING - water heater (ASME / Watts method)</t>
        </is>
      </c>
    </row>
    <row r="85">
      <c r="A85" s="9" t="inlineStr">
        <is>
          <t>Water heater size (gal)</t>
        </is>
      </c>
      <c r="B85" s="36" t="n">
        <v>50</v>
      </c>
    </row>
    <row r="86">
      <c r="A86" s="9" t="inlineStr">
        <is>
          <t>Incoming water temperature (deg F)</t>
        </is>
      </c>
      <c r="B86" s="36" t="n">
        <v>50</v>
      </c>
      <c r="C86" s="69" t="inlineStr">
        <is>
          <t>Use a temperature from the density table below.</t>
        </is>
      </c>
    </row>
    <row r="87">
      <c r="A87" s="9" t="inlineStr">
        <is>
          <t>Heated water temperature (deg F)</t>
        </is>
      </c>
      <c r="B87" s="36" t="n">
        <v>140</v>
      </c>
    </row>
    <row r="88">
      <c r="A88" s="9" t="inlineStr">
        <is>
          <t>Water density, cold (lb/cu ft)</t>
        </is>
      </c>
      <c r="B88" s="81">
        <f>IFERROR(INDEX($B$165:$B$177,MATCH(IF(ISNUMBER(B86),B86,VALUE(B86)),$A$165:$A$177,0)),"—")</f>
        <v/>
      </c>
    </row>
    <row r="89">
      <c r="A89" s="9" t="inlineStr">
        <is>
          <t>Water density, hot (lb/cu ft)</t>
        </is>
      </c>
      <c r="B89" s="81">
        <f>IFERROR(INDEX($B$165:$B$177,MATCH(IF(ISNUMBER(B87),B87,VALUE(B87)),$A$165:$A$177,0)),"—")</f>
        <v/>
      </c>
    </row>
    <row r="90">
      <c r="A90" s="9" t="inlineStr">
        <is>
          <t>Water expansion from heating</t>
        </is>
      </c>
      <c r="B90" s="74">
        <f>IF(B89&gt;0,B88/B89-1,0)</f>
        <v/>
      </c>
    </row>
    <row r="91">
      <c r="A91" s="9" t="inlineStr">
        <is>
          <t>Expanded water the tank must absorb (gal)</t>
        </is>
      </c>
      <c r="B91" s="38">
        <f>B85*B90</f>
        <v/>
      </c>
    </row>
    <row r="92">
      <c r="A92" s="9" t="inlineStr">
        <is>
          <t>Street / static pressure (psi)</t>
        </is>
      </c>
      <c r="B92" s="36" t="n">
        <v>60</v>
      </c>
    </row>
    <row r="93">
      <c r="A93" s="9" t="inlineStr">
        <is>
          <t>Tank pre-charge (psi) - set equal to static pressure</t>
        </is>
      </c>
      <c r="B93" s="39">
        <f>B92</f>
        <v/>
      </c>
    </row>
    <row r="94">
      <c r="A94" s="9" t="inlineStr">
        <is>
          <t>Max pressure allowed (psi)</t>
        </is>
      </c>
      <c r="B94" s="36" t="n">
        <v>135</v>
      </c>
      <c r="C94" s="69" t="inlineStr">
        <is>
          <t>The relief valve is 150 psi; 135 leaves a working margin.</t>
        </is>
      </c>
    </row>
    <row r="95">
      <c r="A95" s="9" t="inlineStr">
        <is>
          <t>Acceptance factor</t>
        </is>
      </c>
      <c r="B95" s="38">
        <f>1-(B93+14.7)/(B94+14.7)</f>
        <v/>
      </c>
    </row>
    <row r="96">
      <c r="A96" s="9" t="inlineStr">
        <is>
          <t>Tank volume required (gal)</t>
        </is>
      </c>
      <c r="B96" s="38">
        <f>IF(B95&gt;0,B91/B95,0)</f>
        <v/>
      </c>
    </row>
    <row r="97">
      <c r="A97" s="14" t="inlineStr">
        <is>
          <t>SMALLEST STANDARD TANK (gal, total volume)</t>
        </is>
      </c>
      <c r="B97" s="78">
        <f>IF(B96&gt;MAX($A$181:$A$191),"Larger than 81 gal",INDEX($A$181:$A$191,SUMPRODUCT(--($A$181:$A$191&lt;B96))+1))</f>
        <v/>
      </c>
    </row>
    <row r="98">
      <c r="A98" s="69" t="inlineStr">
        <is>
          <t>Method (the ASME / Watts sizing method): expanded water = heater gallons x the density change; required tank = expanded water / acceptance factor, where acceptance = 1 - (pre-charge + 14.7) / (max pressure + 14.7). Pre-charge the tank to street pressure with the system drained down. This is for a closed system (check valve or PRV on the service) - an open system does not need the tank.</t>
        </is>
      </c>
    </row>
    <row r="100" ht="20" customHeight="1">
      <c r="A100" s="35" t="inlineStr">
        <is>
          <t>4 - SUMP &amp; SEWAGE PUMP - ESTIMATOR (basin cycling + total head)</t>
        </is>
      </c>
    </row>
    <row r="101">
      <c r="A101" s="9" t="inlineStr">
        <is>
          <t>Basin diameter (in)</t>
        </is>
      </c>
      <c r="B101" s="73" t="n">
        <v>18</v>
      </c>
    </row>
    <row r="102">
      <c r="A102" s="9" t="inlineStr">
        <is>
          <t>Gallons per inch of basin depth</t>
        </is>
      </c>
      <c r="B102" s="38">
        <f>PI()*B101^2/4/231</f>
        <v/>
      </c>
    </row>
    <row r="103">
      <c r="A103" s="9" t="inlineStr">
        <is>
          <t>Drawdown - pump-on level to pump-off level (in)</t>
        </is>
      </c>
      <c r="B103" s="73" t="n">
        <v>12</v>
      </c>
    </row>
    <row r="104">
      <c r="A104" s="9" t="inlineStr">
        <is>
          <t>Water pumped per cycle (gal)</t>
        </is>
      </c>
      <c r="B104" s="75">
        <f>B102*B103</f>
        <v/>
      </c>
    </row>
    <row r="105">
      <c r="A105" s="9" t="inlineStr">
        <is>
          <t>Estimated inflow (gpm)</t>
        </is>
      </c>
      <c r="B105" s="73" t="n">
        <v>10</v>
      </c>
      <c r="C105" s="69" t="inlineStr">
        <is>
          <t>Footing-drain flow in a wet season is the guess that matters - measure it with a bucket if you can.</t>
        </is>
      </c>
    </row>
    <row r="106">
      <c r="A106" s="9" t="inlineStr">
        <is>
          <t>Pump capacity (gpm, from its curve)</t>
        </is>
      </c>
      <c r="B106" s="36" t="n">
        <v>40</v>
      </c>
    </row>
    <row r="107">
      <c r="A107" s="9" t="inlineStr">
        <is>
          <t>Vertical lift - basin water level to discharge point (ft)</t>
        </is>
      </c>
      <c r="B107" s="73" t="n">
        <v>10</v>
      </c>
    </row>
    <row r="108">
      <c r="A108" s="9" t="inlineStr">
        <is>
          <t>Discharge pipe length (ft)</t>
        </is>
      </c>
      <c r="B108" s="36" t="n">
        <v>30</v>
      </c>
    </row>
    <row r="109">
      <c r="A109" s="9" t="inlineStr">
        <is>
          <t>Discharge pipe size</t>
        </is>
      </c>
      <c r="B109" s="37" t="inlineStr">
        <is>
          <t>2″ PVC</t>
        </is>
      </c>
    </row>
    <row r="110">
      <c r="A110" s="9" t="inlineStr">
        <is>
          <t>Pipe inside diameter (in)</t>
        </is>
      </c>
      <c r="B110" s="38">
        <f>IF(B109="1-1/4″ PVC",1.38,IF(B109="1-1/2″ PVC",1.61,2.067))</f>
        <v/>
      </c>
    </row>
    <row r="111">
      <c r="A111" s="9" t="inlineStr">
        <is>
          <t>Pipe roughness - Hazen-Williams C</t>
        </is>
      </c>
      <c r="B111" s="36" t="n">
        <v>140</v>
      </c>
      <c r="C111" s="69" t="inlineStr">
        <is>
          <t>140 for plastic pipe; 100-120 for older metal.</t>
        </is>
      </c>
    </row>
    <row r="112">
      <c r="A112" s="9" t="inlineStr">
        <is>
          <t>Friction loss (ft of head)</t>
        </is>
      </c>
      <c r="B112" s="38">
        <f>0.002083*B108*(100/B111)^1.852*B106^1.852/B110^4.8655</f>
        <v/>
      </c>
    </row>
    <row r="113">
      <c r="A113" s="14" t="inlineStr">
        <is>
          <t>TOTAL DYNAMIC HEAD (ft)</t>
        </is>
      </c>
      <c r="B113" s="78">
        <f>B107+B112</f>
        <v/>
      </c>
      <c r="C113" s="69" t="inlineStr">
        <is>
          <t>Read the pump curve AT this head - if its gpm there differs from what you typed, type that number in and the head settles.</t>
        </is>
      </c>
    </row>
    <row r="114">
      <c r="A114" s="9" t="inlineStr">
        <is>
          <t>Run time per cycle (min)</t>
        </is>
      </c>
      <c r="B114" s="38">
        <f>IF(B106&gt;B105,B104/(B106-B105),0)</f>
        <v/>
      </c>
    </row>
    <row r="115">
      <c r="A115" s="9" t="inlineStr">
        <is>
          <t>Fill time per cycle (min)</t>
        </is>
      </c>
      <c r="B115" s="38">
        <f>IF(B105&gt;0,B104/B105,0)</f>
        <v/>
      </c>
    </row>
    <row r="116">
      <c r="A116" s="9" t="inlineStr">
        <is>
          <t>Cycles per hour</t>
        </is>
      </c>
      <c r="B116" s="75">
        <f>IF((B114+B115)&gt;0,60/(B114+B115),0)</f>
        <v/>
      </c>
    </row>
    <row r="117">
      <c r="A117" s="14">
        <f>IF(B116&gt;12,"Short-cycling - the pump starts too often. Bigger basin, more drawdown, or a smaller pump.",IF(B116&lt;1,"Long rests between cycles - easy on the pump; on sewage, do not let waste sit and go septic.","Healthy cycling range for most pumps."))</f>
        <v/>
      </c>
    </row>
    <row r="118">
      <c r="A118" s="69" t="inlineStr">
        <is>
          <t>ESTIMATOR. Friction loss uses the Hazen-Williams formula. Fittings add friction too - a check valve and a couple of elbows act like extra feet of pipe; add their equivalent length to the pipe length if the run is fitting-heavy. Sewage ejectors run the same math with a solids-handling pump and a bigger basin (30 gallons is the common code minimum working volume - IPC 712).</t>
        </is>
      </c>
    </row>
    <row r="120">
      <c r="A120" s="14" t="inlineStr">
        <is>
          <t>Reference - Table E103.3(3) anchors: WSFU to estimated demand (flush-tank systems)</t>
        </is>
      </c>
    </row>
    <row r="121">
      <c r="A121" s="14" t="inlineStr">
        <is>
          <t>Total WSFU</t>
        </is>
      </c>
      <c r="B121" s="14" t="inlineStr">
        <is>
          <t>Demand (gpm)</t>
        </is>
      </c>
    </row>
    <row r="122">
      <c r="A122" s="39" t="n">
        <v>1</v>
      </c>
      <c r="B122" s="75" t="n">
        <v>3</v>
      </c>
    </row>
    <row r="123">
      <c r="A123" s="39" t="n">
        <v>2</v>
      </c>
      <c r="B123" s="75" t="n">
        <v>5</v>
      </c>
    </row>
    <row r="124">
      <c r="A124" s="39" t="n">
        <v>3</v>
      </c>
      <c r="B124" s="75" t="n">
        <v>6.5</v>
      </c>
    </row>
    <row r="125">
      <c r="A125" s="39" t="n">
        <v>4</v>
      </c>
      <c r="B125" s="75" t="n">
        <v>8</v>
      </c>
    </row>
    <row r="126">
      <c r="A126" s="39" t="n">
        <v>5</v>
      </c>
      <c r="B126" s="75" t="n">
        <v>9.4</v>
      </c>
    </row>
    <row r="127">
      <c r="A127" s="39" t="n">
        <v>6</v>
      </c>
      <c r="B127" s="75" t="n">
        <v>10.7</v>
      </c>
    </row>
    <row r="128">
      <c r="A128" s="39" t="n">
        <v>7</v>
      </c>
      <c r="B128" s="75" t="n">
        <v>11.8</v>
      </c>
    </row>
    <row r="129">
      <c r="A129" s="39" t="n">
        <v>8</v>
      </c>
      <c r="B129" s="75" t="n">
        <v>12.8</v>
      </c>
    </row>
    <row r="130">
      <c r="A130" s="39" t="n">
        <v>9</v>
      </c>
      <c r="B130" s="75" t="n">
        <v>13.7</v>
      </c>
    </row>
    <row r="131">
      <c r="A131" s="39" t="n">
        <v>10</v>
      </c>
      <c r="B131" s="75" t="n">
        <v>14.6</v>
      </c>
    </row>
    <row r="132">
      <c r="A132" s="39" t="n">
        <v>11</v>
      </c>
      <c r="B132" s="75" t="n">
        <v>15.4</v>
      </c>
    </row>
    <row r="133">
      <c r="A133" s="39" t="n">
        <v>12</v>
      </c>
      <c r="B133" s="75" t="n">
        <v>16</v>
      </c>
    </row>
    <row r="134">
      <c r="A134" s="39" t="n">
        <v>13</v>
      </c>
      <c r="B134" s="75" t="n">
        <v>16.5</v>
      </c>
    </row>
    <row r="135">
      <c r="A135" s="39" t="n">
        <v>14</v>
      </c>
      <c r="B135" s="75" t="n">
        <v>17</v>
      </c>
    </row>
    <row r="136">
      <c r="A136" s="39" t="n">
        <v>15</v>
      </c>
      <c r="B136" s="75" t="n">
        <v>17.5</v>
      </c>
    </row>
    <row r="137">
      <c r="A137" s="39" t="n">
        <v>16</v>
      </c>
      <c r="B137" s="75" t="n">
        <v>18</v>
      </c>
    </row>
    <row r="138">
      <c r="A138" s="39" t="n">
        <v>17</v>
      </c>
      <c r="B138" s="75" t="n">
        <v>18.4</v>
      </c>
    </row>
    <row r="139">
      <c r="A139" s="39" t="n">
        <v>18</v>
      </c>
      <c r="B139" s="75" t="n">
        <v>18.8</v>
      </c>
    </row>
    <row r="140">
      <c r="A140" s="39" t="n">
        <v>19</v>
      </c>
      <c r="B140" s="75" t="n">
        <v>19.2</v>
      </c>
    </row>
    <row r="141">
      <c r="A141" s="39" t="n">
        <v>20</v>
      </c>
      <c r="B141" s="75" t="n">
        <v>19.6</v>
      </c>
    </row>
    <row r="142">
      <c r="A142" s="39" t="n">
        <v>25</v>
      </c>
      <c r="B142" s="75" t="n">
        <v>21.5</v>
      </c>
    </row>
    <row r="143">
      <c r="A143" s="39" t="n">
        <v>30</v>
      </c>
      <c r="B143" s="75" t="n">
        <v>23.3</v>
      </c>
    </row>
    <row r="144">
      <c r="A144" s="39" t="n">
        <v>35</v>
      </c>
      <c r="B144" s="75" t="n">
        <v>24.9</v>
      </c>
    </row>
    <row r="145">
      <c r="A145" s="39" t="n">
        <v>40</v>
      </c>
      <c r="B145" s="75" t="n">
        <v>26.3</v>
      </c>
    </row>
    <row r="146">
      <c r="A146" s="39" t="n">
        <v>45</v>
      </c>
      <c r="B146" s="75" t="n">
        <v>27.7</v>
      </c>
    </row>
    <row r="147">
      <c r="A147" s="39" t="n">
        <v>50</v>
      </c>
      <c r="B147" s="75" t="n">
        <v>29.1</v>
      </c>
    </row>
    <row r="148">
      <c r="A148" s="39" t="n">
        <v>60</v>
      </c>
      <c r="B148" s="75" t="n">
        <v>32</v>
      </c>
    </row>
    <row r="149">
      <c r="A149" s="39" t="n">
        <v>70</v>
      </c>
      <c r="B149" s="75" t="n">
        <v>35</v>
      </c>
    </row>
    <row r="150">
      <c r="A150" s="39" t="n">
        <v>80</v>
      </c>
      <c r="B150" s="75" t="n">
        <v>38</v>
      </c>
    </row>
    <row r="151">
      <c r="A151" s="39" t="n">
        <v>90</v>
      </c>
      <c r="B151" s="75" t="n">
        <v>41</v>
      </c>
    </row>
    <row r="152">
      <c r="A152" s="39" t="n">
        <v>100</v>
      </c>
      <c r="B152" s="75" t="n">
        <v>43.5</v>
      </c>
    </row>
    <row r="153">
      <c r="A153" s="39" t="n">
        <v>120</v>
      </c>
      <c r="B153" s="75" t="n">
        <v>48</v>
      </c>
    </row>
    <row r="154">
      <c r="A154" s="39" t="n">
        <v>140</v>
      </c>
      <c r="B154" s="75" t="n">
        <v>52.5</v>
      </c>
    </row>
    <row r="155">
      <c r="A155" s="39" t="n">
        <v>160</v>
      </c>
      <c r="B155" s="75" t="n">
        <v>57</v>
      </c>
    </row>
    <row r="156">
      <c r="A156" s="39" t="n">
        <v>180</v>
      </c>
      <c r="B156" s="75" t="n">
        <v>61</v>
      </c>
    </row>
    <row r="157">
      <c r="A157" s="39" t="n">
        <v>200</v>
      </c>
      <c r="B157" s="75" t="n">
        <v>65</v>
      </c>
    </row>
    <row r="158">
      <c r="A158" s="39" t="n">
        <v>250</v>
      </c>
      <c r="B158" s="75" t="n">
        <v>75</v>
      </c>
    </row>
    <row r="159">
      <c r="A159" s="39" t="n">
        <v>300</v>
      </c>
      <c r="B159" s="75" t="n">
        <v>85</v>
      </c>
    </row>
    <row r="160">
      <c r="A160" s="39" t="n">
        <v>400</v>
      </c>
      <c r="B160" s="75" t="n">
        <v>105</v>
      </c>
    </row>
    <row r="161">
      <c r="A161" s="39" t="n">
        <v>500</v>
      </c>
      <c r="B161" s="75" t="n">
        <v>124</v>
      </c>
    </row>
    <row r="163">
      <c r="A163" s="14" t="inlineStr">
        <is>
          <t>Reference - water density by temperature (lb per cubic foot)</t>
        </is>
      </c>
    </row>
    <row r="164">
      <c r="A164" s="14" t="inlineStr">
        <is>
          <t>Temperature (deg F)</t>
        </is>
      </c>
      <c r="B164" s="14" t="inlineStr">
        <is>
          <t>Density</t>
        </is>
      </c>
    </row>
    <row r="165">
      <c r="A165" s="39" t="n">
        <v>40</v>
      </c>
      <c r="B165" s="38" t="n">
        <v>62.43</v>
      </c>
    </row>
    <row r="166">
      <c r="A166" s="39" t="n">
        <v>50</v>
      </c>
      <c r="B166" s="38" t="n">
        <v>62.41</v>
      </c>
    </row>
    <row r="167">
      <c r="A167" s="39" t="n">
        <v>60</v>
      </c>
      <c r="B167" s="38" t="n">
        <v>62.37</v>
      </c>
    </row>
    <row r="168">
      <c r="A168" s="39" t="n">
        <v>70</v>
      </c>
      <c r="B168" s="38" t="n">
        <v>62.3</v>
      </c>
    </row>
    <row r="169">
      <c r="A169" s="39" t="n">
        <v>80</v>
      </c>
      <c r="B169" s="38" t="n">
        <v>62.22</v>
      </c>
    </row>
    <row r="170">
      <c r="A170" s="39" t="n">
        <v>90</v>
      </c>
      <c r="B170" s="38" t="n">
        <v>62.11</v>
      </c>
    </row>
    <row r="171">
      <c r="A171" s="39" t="n">
        <v>100</v>
      </c>
      <c r="B171" s="38" t="n">
        <v>61.99</v>
      </c>
    </row>
    <row r="172">
      <c r="A172" s="39" t="n">
        <v>110</v>
      </c>
      <c r="B172" s="38" t="n">
        <v>61.86</v>
      </c>
    </row>
    <row r="173">
      <c r="A173" s="39" t="n">
        <v>120</v>
      </c>
      <c r="B173" s="38" t="n">
        <v>61.71</v>
      </c>
    </row>
    <row r="174">
      <c r="A174" s="39" t="n">
        <v>130</v>
      </c>
      <c r="B174" s="38" t="n">
        <v>61.55</v>
      </c>
    </row>
    <row r="175">
      <c r="A175" s="39" t="n">
        <v>140</v>
      </c>
      <c r="B175" s="38" t="n">
        <v>61.38</v>
      </c>
    </row>
    <row r="176">
      <c r="A176" s="39" t="n">
        <v>150</v>
      </c>
      <c r="B176" s="38" t="n">
        <v>61.19</v>
      </c>
    </row>
    <row r="177">
      <c r="A177" s="39" t="n">
        <v>160</v>
      </c>
      <c r="B177" s="38" t="n">
        <v>61</v>
      </c>
    </row>
    <row r="179">
      <c r="A179" s="14" t="inlineStr">
        <is>
          <t>Reference - standard expansion-tank sizes (gal, total volume)</t>
        </is>
      </c>
    </row>
    <row r="180">
      <c r="A180" s="14" t="inlineStr">
        <is>
          <t>Tank size (gal)</t>
        </is>
      </c>
    </row>
    <row r="181">
      <c r="A181" s="75" t="n">
        <v>2.1</v>
      </c>
    </row>
    <row r="182">
      <c r="A182" s="75" t="n">
        <v>4.5</v>
      </c>
    </row>
    <row r="183">
      <c r="A183" s="75" t="n">
        <v>8</v>
      </c>
    </row>
    <row r="184">
      <c r="A184" s="75" t="n">
        <v>11</v>
      </c>
    </row>
    <row r="185">
      <c r="A185" s="75" t="n">
        <v>14</v>
      </c>
    </row>
    <row r="186">
      <c r="A186" s="75" t="n">
        <v>20</v>
      </c>
    </row>
    <row r="187">
      <c r="A187" s="75" t="n">
        <v>26</v>
      </c>
    </row>
    <row r="188">
      <c r="A188" s="75" t="n">
        <v>33</v>
      </c>
    </row>
    <row r="189">
      <c r="A189" s="75" t="n">
        <v>44</v>
      </c>
    </row>
    <row r="190">
      <c r="A190" s="75" t="n">
        <v>62</v>
      </c>
    </row>
    <row r="191">
      <c r="A191" s="75" t="n">
        <v>81</v>
      </c>
    </row>
    <row r="193">
      <c r="A193" s="69" t="inlineStr">
        <is>
          <t>Tables on this sheet: IPC Appendix E, Table E103.3(2) (fixture-unit load values) and Table E103.3(3) (estimated demand, flush-tank systems); IFGC Table 402.4(2) (gas capacity, Schedule 40 metallic pipe); Type L copper inside diameters per ASTM B88; water density per standard steam-table values; expansion-tank method per ASME / Watts sizing practice.</t>
        </is>
      </c>
    </row>
  </sheetData>
  <mergeCells count="12">
    <mergeCell ref="A1:J1"/>
    <mergeCell ref="A117:J117"/>
    <mergeCell ref="A46:J46"/>
    <mergeCell ref="A84:J84"/>
    <mergeCell ref="A118:J118"/>
    <mergeCell ref="A98:J98"/>
    <mergeCell ref="A193:J193"/>
    <mergeCell ref="A100:J100"/>
    <mergeCell ref="A4:J4"/>
    <mergeCell ref="A2:J2"/>
    <mergeCell ref="A60:J60"/>
    <mergeCell ref="A33:J33"/>
  </mergeCells>
  <dataValidations count="1">
    <dataValidation sqref="B109" showDropDown="0" showInputMessage="0" showErrorMessage="0" allowBlank="0" type="list">
      <formula1>"1-1/4″ PVC,1-1/2″ PVC,2″ PVC"</formula1>
    </dataValidation>
  </dataValidations>
  <pageMargins left="0.75" right="0.75" top="1" bottom="1" header="0.5" footer="0.5"/>
  <pageSetup orientation="portrait" fitToWidth="1"/>
  <headerFooter>
    <oddHeader>&amp;C&amp;11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3" customWidth="1" min="3" max="3"/>
    <col width="16" customWidth="1" min="4" max="4"/>
    <col width="32" customWidth="1" min="5" max="5"/>
  </cols>
  <sheetData>
    <row r="1" ht="24" customHeight="1">
      <c r="A1" s="6" t="inlineStr">
        <is>
          <t>PLUMBING QUOTE - Job bid worksheet</t>
        </is>
      </c>
    </row>
    <row r="2">
      <c r="A2" s="7" t="inlineStr">
        <is>
          <t>Same math as the Job Bid Pricer on the Standard sheet - labor, materials with markup, and other costs, then overhead, then profit - laid out on the lines this trade actually writes up. Example lines are prefilled; replace quantities, hours and costs with the real job.</t>
        </is>
      </c>
    </row>
    <row r="4">
      <c r="A4" s="14" t="inlineStr">
        <is>
          <t>Customer name:</t>
        </is>
      </c>
      <c r="B4" s="23" t="n"/>
      <c r="C4" s="53" t="n"/>
      <c r="D4" s="53" t="n"/>
      <c r="E4" s="54" t="n"/>
    </row>
    <row r="5">
      <c r="A5" s="14" t="inlineStr">
        <is>
          <t>Job / address:</t>
        </is>
      </c>
      <c r="B5" s="23" t="n"/>
      <c r="C5" s="53" t="n"/>
      <c r="D5" s="53" t="n"/>
      <c r="E5" s="54" t="n"/>
    </row>
    <row r="6">
      <c r="A6" s="14" t="inlineStr">
        <is>
          <t>Date:</t>
        </is>
      </c>
      <c r="B6" s="23" t="n"/>
      <c r="C6" s="53" t="n"/>
      <c r="D6" s="53" t="n"/>
      <c r="E6" s="54" t="n"/>
    </row>
    <row r="7">
      <c r="A7" s="14" t="inlineStr">
        <is>
          <t>Quote #:</t>
        </is>
      </c>
      <c r="B7" s="23" t="n"/>
      <c r="C7" s="53" t="n"/>
      <c r="D7" s="53" t="n"/>
      <c r="E7" s="54" t="n"/>
    </row>
    <row r="8">
      <c r="A8" s="14" t="inlineStr">
        <is>
          <t>Labor cost per hour ($, wage + burden)</t>
        </is>
      </c>
      <c r="B8" s="11" t="n">
        <v>60</v>
      </c>
    </row>
    <row r="10">
      <c r="A10" s="34" t="inlineStr">
        <is>
          <t>LABOR - work lines</t>
        </is>
      </c>
      <c r="B10" s="34" t="inlineStr">
        <is>
          <t>Qty</t>
        </is>
      </c>
      <c r="C10" s="34" t="inlineStr">
        <is>
          <t>Hrs each</t>
        </is>
      </c>
      <c r="D10" s="34" t="inlineStr">
        <is>
          <t>Labor ($)</t>
        </is>
      </c>
      <c r="E10" s="34" t="inlineStr">
        <is>
          <t>Notes</t>
        </is>
      </c>
    </row>
    <row r="11">
      <c r="A11" s="30" t="inlineStr">
        <is>
          <t>Drain clearing</t>
        </is>
      </c>
      <c r="B11" s="18" t="n">
        <v>1</v>
      </c>
      <c r="C11" s="27" t="n">
        <v>1</v>
      </c>
      <c r="D11" s="13">
        <f>B11*C11*$B$8</f>
        <v/>
      </c>
      <c r="E11" s="24" t="inlineStr"/>
    </row>
    <row r="12">
      <c r="A12" s="30" t="inlineStr">
        <is>
          <t>Faucet replacement</t>
        </is>
      </c>
      <c r="B12" s="18" t="n">
        <v>1</v>
      </c>
      <c r="C12" s="27" t="n">
        <v>1</v>
      </c>
      <c r="D12" s="13">
        <f>B12*C12*$B$8</f>
        <v/>
      </c>
      <c r="E12" s="24" t="inlineStr"/>
    </row>
    <row r="13">
      <c r="A13" s="30" t="inlineStr">
        <is>
          <t>Toilet replacement</t>
        </is>
      </c>
      <c r="B13" s="18" t="n">
        <v>1</v>
      </c>
      <c r="C13" s="27" t="n">
        <v>1.5</v>
      </c>
      <c r="D13" s="13">
        <f>B13*C13*$B$8</f>
        <v/>
      </c>
      <c r="E13" s="24" t="inlineStr"/>
    </row>
    <row r="14">
      <c r="A14" s="30" t="inlineStr">
        <is>
          <t>Leak repair</t>
        </is>
      </c>
      <c r="B14" s="18" t="n">
        <v>1</v>
      </c>
      <c r="C14" s="27" t="n">
        <v>1</v>
      </c>
      <c r="D14" s="13">
        <f>B14*C14*$B$8</f>
        <v/>
      </c>
      <c r="E14" s="24" t="inlineStr"/>
    </row>
    <row r="15">
      <c r="A15" s="30" t="inlineStr">
        <is>
          <t>Water heater install - 50 gal</t>
        </is>
      </c>
      <c r="B15" s="18" t="n">
        <v>0</v>
      </c>
      <c r="C15" s="27" t="n">
        <v>4</v>
      </c>
      <c r="D15" s="13">
        <f>B15*C15*$B$8</f>
        <v/>
      </c>
      <c r="E15" s="24" t="inlineStr">
        <is>
          <t>Qty 0 - set it when the job needs it</t>
        </is>
      </c>
    </row>
    <row r="16">
      <c r="A16" s="30" t="inlineStr">
        <is>
          <t>Garbage disposal install</t>
        </is>
      </c>
      <c r="B16" s="18" t="n">
        <v>0</v>
      </c>
      <c r="C16" s="27" t="n">
        <v>1</v>
      </c>
      <c r="D16" s="13">
        <f>B16*C16*$B$8</f>
        <v/>
      </c>
      <c r="E16" s="24" t="inlineStr"/>
    </row>
    <row r="17">
      <c r="A17" s="14" t="inlineStr">
        <is>
          <t>Labor subtotal</t>
        </is>
      </c>
      <c r="C17" s="22">
        <f>SUMPRODUCT($B$11:$B$16,$C$11:$C$16)</f>
        <v/>
      </c>
      <c r="D17" s="15">
        <f>SUM($D$11:$D$16)</f>
        <v/>
      </c>
    </row>
    <row r="19">
      <c r="A19" s="34" t="inlineStr">
        <is>
          <t>MATERIALS</t>
        </is>
      </c>
      <c r="B19" s="34" t="inlineStr">
        <is>
          <t>Qty</t>
        </is>
      </c>
      <c r="C19" s="34" t="inlineStr">
        <is>
          <t>Cost each ($)</t>
        </is>
      </c>
      <c r="D19" s="34" t="inlineStr">
        <is>
          <t>Line cost ($)</t>
        </is>
      </c>
      <c r="E19" s="34" t="inlineStr">
        <is>
          <t>Notes</t>
        </is>
      </c>
    </row>
    <row r="20">
      <c r="A20" s="30" t="inlineStr">
        <is>
          <t>Faucet</t>
        </is>
      </c>
      <c r="B20" s="18" t="n">
        <v>1</v>
      </c>
      <c r="C20" s="11" t="n">
        <v>120</v>
      </c>
      <c r="D20" s="13">
        <f>B20*C20</f>
        <v/>
      </c>
      <c r="E20" s="24" t="inlineStr"/>
    </row>
    <row r="21">
      <c r="A21" s="30" t="inlineStr">
        <is>
          <t>Toilet</t>
        </is>
      </c>
      <c r="B21" s="18" t="n">
        <v>1</v>
      </c>
      <c r="C21" s="11" t="n">
        <v>210</v>
      </c>
      <c r="D21" s="13">
        <f>B21*C21</f>
        <v/>
      </c>
      <c r="E21" s="24" t="inlineStr"/>
    </row>
    <row r="22">
      <c r="A22" s="30" t="inlineStr">
        <is>
          <t>Wax ring &amp; supply lines</t>
        </is>
      </c>
      <c r="B22" s="18" t="n">
        <v>1</v>
      </c>
      <c r="C22" s="11" t="n">
        <v>18</v>
      </c>
      <c r="D22" s="13">
        <f>B22*C22</f>
        <v/>
      </c>
      <c r="E22" s="24" t="inlineStr"/>
    </row>
    <row r="23">
      <c r="A23" s="30" t="inlineStr">
        <is>
          <t>Pipe, fittings &amp; sealant</t>
        </is>
      </c>
      <c r="B23" s="18" t="n">
        <v>1</v>
      </c>
      <c r="C23" s="11" t="n">
        <v>35</v>
      </c>
      <c r="D23" s="13">
        <f>B23*C23</f>
        <v/>
      </c>
      <c r="E23" s="24" t="inlineStr"/>
    </row>
    <row r="24">
      <c r="A24" s="30" t="inlineStr">
        <is>
          <t>Valves &amp; misc</t>
        </is>
      </c>
      <c r="B24" s="18" t="n">
        <v>1</v>
      </c>
      <c r="C24" s="11" t="n">
        <v>25</v>
      </c>
      <c r="D24" s="13">
        <f>B24*C24</f>
        <v/>
      </c>
      <c r="E24" s="24" t="inlineStr"/>
    </row>
    <row r="25">
      <c r="A25" s="14" t="inlineStr">
        <is>
          <t>Materials subtotal</t>
        </is>
      </c>
      <c r="D25" s="15">
        <f>SUM($D$20:$D$24)</f>
        <v/>
      </c>
    </row>
    <row r="26">
      <c r="A26" s="9" t="inlineStr">
        <is>
          <t>Materials markup</t>
        </is>
      </c>
      <c r="B26" s="12" t="n">
        <v>0.2</v>
      </c>
    </row>
    <row r="27">
      <c r="A27" s="9" t="inlineStr">
        <is>
          <t>Materials (with markup)</t>
        </is>
      </c>
      <c r="D27" s="13">
        <f>D25*(1+B26)</f>
        <v/>
      </c>
    </row>
    <row r="29" ht="20" customHeight="1">
      <c r="A29" s="8" t="inlineStr">
        <is>
          <t>BID ROLLUP - the Job Bid Pricer math</t>
        </is>
      </c>
    </row>
    <row r="30">
      <c r="A30" s="9" t="inlineStr">
        <is>
          <t>Service call / diagnostic (flat $)</t>
        </is>
      </c>
      <c r="B30" s="11" t="n">
        <v>89</v>
      </c>
    </row>
    <row r="31">
      <c r="A31" s="9" t="inlineStr">
        <is>
          <t>Subs, rentals &amp; permits ($)</t>
        </is>
      </c>
      <c r="B31" s="11" t="n">
        <v>0</v>
      </c>
    </row>
    <row r="32">
      <c r="A32" s="9" t="inlineStr">
        <is>
          <t>Direct costs (labor + materials + service + subs)</t>
        </is>
      </c>
      <c r="B32" s="13">
        <f>D17+D27+B30+B31</f>
        <v/>
      </c>
    </row>
    <row r="33">
      <c r="A33" s="9" t="inlineStr">
        <is>
          <t>Overhead on the job</t>
        </is>
      </c>
      <c r="B33" s="12" t="n">
        <v>0.1</v>
      </c>
    </row>
    <row r="34">
      <c r="A34" s="9" t="inlineStr">
        <is>
          <t>Overhead amount</t>
        </is>
      </c>
      <c r="B34" s="13">
        <f>B32*B33</f>
        <v/>
      </c>
    </row>
    <row r="35">
      <c r="A35" s="9" t="inlineStr">
        <is>
          <t>Profit markup</t>
        </is>
      </c>
      <c r="B35" s="12" t="n">
        <v>0.15</v>
      </c>
    </row>
    <row r="36">
      <c r="A36" s="9" t="inlineStr">
        <is>
          <t>Profit amount</t>
        </is>
      </c>
      <c r="B36" s="13">
        <f>(B32+B34)*B35</f>
        <v/>
      </c>
    </row>
    <row r="37">
      <c r="A37" s="14" t="inlineStr">
        <is>
          <t>BID TOTAL</t>
        </is>
      </c>
      <c r="B37" s="15">
        <f>B32+B34+B36</f>
        <v/>
      </c>
    </row>
    <row r="38">
      <c r="A38" s="9" t="inlineStr">
        <is>
          <t>Gross margin on the bid</t>
        </is>
      </c>
      <c r="B38" s="16">
        <f>IF(B37&gt;0,B36/B37,0)</f>
        <v/>
      </c>
    </row>
    <row r="40">
      <c r="A40" s="17" t="inlineStr">
        <is>
          <t>Quote is valid for 30 days unless you write otherwise here. Lines with qty 0 are common add-ons for this trade - set the qty when the job needs them. Cross-check any quote against the Job Bid Pricer on the Standard sheet: same total hours, rate, materials and percents must give the same bid.</t>
        </is>
      </c>
    </row>
    <row r="41"/>
  </sheetData>
  <mergeCells count="8">
    <mergeCell ref="A29:E29"/>
    <mergeCell ref="B4:E4"/>
    <mergeCell ref="A2:E2"/>
    <mergeCell ref="B6:E6"/>
    <mergeCell ref="A40:E41"/>
    <mergeCell ref="B7:E7"/>
    <mergeCell ref="A1:E1"/>
    <mergeCell ref="B5:E5"/>
  </mergeCells>
  <printOptions horizontalCentered="1"/>
  <pageMargins left="0.75" right="0.75" top="1" bottom="1" header="0.5" footer="0.5"/>
  <pageSetup orientation="landscape" fitToWidth="1"/>
  <headerFooter>
    <oddHeader>&amp;C&amp;11 Highway 38 Solutions</oddHeader>
    <oddFooter/>
    <evenHeader>&amp;C&amp;11 Highway 38 Solutions</evenHeader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Highway 38 Solutions</dc:creator>
  <dc:title xmlns:dc="http://purl.org/dc/elements/1.1/">H38 Contractor Calc - Highway 38 Solutions</dc:title>
  <dcterms:created xmlns:dcterms="http://purl.org/dc/terms/" xmlns:xsi="http://www.w3.org/2001/XMLSchema-instance" xsi:type="dcterms:W3CDTF">2026-10-25T21:36:25Z</dcterms:created>
  <dcterms:modified xmlns:dcterms="http://purl.org/dc/terms/" xmlns:xsi="http://www.w3.org/2001/XMLSchema-instance" xsi:type="dcterms:W3CDTF">2026-10-28T03:13:39+00:00Z</dcterms:modified>
</cp:coreProperties>
</file>